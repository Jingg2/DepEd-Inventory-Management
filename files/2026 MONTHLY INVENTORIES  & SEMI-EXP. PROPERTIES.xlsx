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dja\Desktop\"/>
    </mc:Choice>
  </mc:AlternateContent>
  <xr:revisionPtr revIDLastSave="0" documentId="13_ncr:1_{AA68F81F-7271-4ED2-9E87-3B9BFC21750D}" xr6:coauthVersionLast="47" xr6:coauthVersionMax="47" xr10:uidLastSave="{00000000-0000-0000-0000-000000000000}"/>
  <bookViews>
    <workbookView xWindow="3950" yWindow="10" windowWidth="14880" windowHeight="10830" firstSheet="2" activeTab="3" xr2:uid="{00000000-000D-0000-FFFF-FFFF00000000}"/>
  </bookViews>
  <sheets>
    <sheet name="summary" sheetId="18" r:id="rId1"/>
    <sheet name="JAN 2026 procurement (2)" sheetId="38" r:id="rId2"/>
    <sheet name="JAN 2026 procurement" sheetId="37" r:id="rId3"/>
    <sheet name="JAN 2026" sheetId="35" r:id="rId4"/>
  </sheets>
  <definedNames>
    <definedName name="_xlnm._FilterDatabase" localSheetId="3" hidden="1">'JAN 2026'!$A$6:$S$163</definedName>
    <definedName name="_xlnm._FilterDatabase" localSheetId="2" hidden="1">'JAN 2026 procurement'!$A$6:$S$163</definedName>
    <definedName name="_xlnm._FilterDatabase" localSheetId="1" hidden="1">'JAN 2026 procurement (2)'!$A$6:$U$107</definedName>
    <definedName name="_xlnm.Print_Area" localSheetId="2">'JAN 2026 procurement'!$B$1:$R$170</definedName>
    <definedName name="_xlnm.Print_Area" localSheetId="1">'JAN 2026 procurement (2)'!$B$1:$T$114</definedName>
    <definedName name="_xlnm.Print_Titles" localSheetId="3">'JAN 2026'!$8:$9</definedName>
    <definedName name="_xlnm.Print_Titles" localSheetId="2">'JAN 2026 procurement'!$8:$9</definedName>
    <definedName name="_xlnm.Print_Titles" localSheetId="1">'JAN 2026 procurement (2)'!$8:$9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1" i="35" l="1"/>
  <c r="R41" i="38"/>
  <c r="R106" i="38"/>
  <c r="R105" i="38"/>
  <c r="R104" i="38"/>
  <c r="R103" i="38"/>
  <c r="R102" i="38"/>
  <c r="R101" i="38"/>
  <c r="R100" i="38"/>
  <c r="R99" i="38"/>
  <c r="R98" i="38"/>
  <c r="R97" i="38"/>
  <c r="R96" i="38"/>
  <c r="R95" i="38"/>
  <c r="R94" i="38"/>
  <c r="R93" i="38"/>
  <c r="R92" i="38"/>
  <c r="R91" i="38"/>
  <c r="R90" i="38"/>
  <c r="R89" i="38"/>
  <c r="R88" i="38"/>
  <c r="R87" i="38"/>
  <c r="R86" i="38"/>
  <c r="R85" i="38"/>
  <c r="R83" i="38"/>
  <c r="R82" i="38"/>
  <c r="R81" i="38"/>
  <c r="R80" i="38"/>
  <c r="R79" i="38"/>
  <c r="R78" i="38"/>
  <c r="R77" i="38"/>
  <c r="R76" i="38"/>
  <c r="R75" i="38"/>
  <c r="R74" i="38"/>
  <c r="R73" i="38"/>
  <c r="R72" i="38"/>
  <c r="R71" i="38"/>
  <c r="R70" i="38"/>
  <c r="R69" i="38"/>
  <c r="R68" i="38"/>
  <c r="R67" i="38"/>
  <c r="R66" i="38"/>
  <c r="R65" i="38"/>
  <c r="R64" i="38"/>
  <c r="R63" i="38"/>
  <c r="R62" i="38"/>
  <c r="R61" i="38"/>
  <c r="R60" i="38"/>
  <c r="R59" i="38"/>
  <c r="R58" i="38"/>
  <c r="R57" i="38"/>
  <c r="R56" i="38"/>
  <c r="R55" i="38"/>
  <c r="R54" i="38"/>
  <c r="R53" i="38"/>
  <c r="R52" i="38"/>
  <c r="R51" i="38"/>
  <c r="R50" i="38"/>
  <c r="R49" i="38"/>
  <c r="R48" i="38"/>
  <c r="R47" i="38"/>
  <c r="R46" i="38"/>
  <c r="R45" i="38"/>
  <c r="R44" i="38"/>
  <c r="R43" i="38"/>
  <c r="R42" i="38"/>
  <c r="R40" i="38"/>
  <c r="R39" i="38"/>
  <c r="R38" i="38"/>
  <c r="R37" i="38"/>
  <c r="R36" i="38"/>
  <c r="R35" i="38"/>
  <c r="R34" i="38"/>
  <c r="R33" i="38"/>
  <c r="R32" i="38"/>
  <c r="R31" i="38"/>
  <c r="R30" i="38"/>
  <c r="R29" i="38"/>
  <c r="R28" i="38"/>
  <c r="R27" i="38"/>
  <c r="R26" i="38"/>
  <c r="R25" i="38"/>
  <c r="R24" i="38"/>
  <c r="R23" i="38"/>
  <c r="R22" i="38"/>
  <c r="R21" i="38"/>
  <c r="R20" i="38"/>
  <c r="R19" i="38"/>
  <c r="R18" i="38"/>
  <c r="R17" i="38"/>
  <c r="R16" i="38"/>
  <c r="R15" i="38"/>
  <c r="R14" i="38"/>
  <c r="R13" i="38"/>
  <c r="R12" i="38"/>
  <c r="R11" i="38"/>
  <c r="AG106" i="38"/>
  <c r="AF106" i="38"/>
  <c r="AE106" i="38"/>
  <c r="AD106" i="38"/>
  <c r="AC106" i="38"/>
  <c r="AB106" i="38"/>
  <c r="AA106" i="38"/>
  <c r="Z106" i="38"/>
  <c r="Y106" i="38"/>
  <c r="P106" i="38"/>
  <c r="AH106" i="38" s="1"/>
  <c r="AG105" i="38"/>
  <c r="AF105" i="38"/>
  <c r="AE105" i="38"/>
  <c r="AD105" i="38"/>
  <c r="AC105" i="38"/>
  <c r="AB105" i="38"/>
  <c r="AA105" i="38"/>
  <c r="Z105" i="38"/>
  <c r="Y105" i="38"/>
  <c r="P105" i="38"/>
  <c r="AH105" i="38" s="1"/>
  <c r="AG104" i="38"/>
  <c r="AF104" i="38"/>
  <c r="AE104" i="38"/>
  <c r="AD104" i="38"/>
  <c r="AC104" i="38"/>
  <c r="AB104" i="38"/>
  <c r="AA104" i="38"/>
  <c r="Z104" i="38"/>
  <c r="Y104" i="38"/>
  <c r="P104" i="38"/>
  <c r="AG103" i="38"/>
  <c r="AF103" i="38"/>
  <c r="AE103" i="38"/>
  <c r="AD103" i="38"/>
  <c r="AC103" i="38"/>
  <c r="AB103" i="38"/>
  <c r="AA103" i="38"/>
  <c r="Z103" i="38"/>
  <c r="Y103" i="38"/>
  <c r="P103" i="38"/>
  <c r="S103" i="38" s="1"/>
  <c r="AG102" i="38"/>
  <c r="AF102" i="38"/>
  <c r="AE102" i="38"/>
  <c r="AD102" i="38"/>
  <c r="AC102" i="38"/>
  <c r="AB102" i="38"/>
  <c r="AA102" i="38"/>
  <c r="Z102" i="38"/>
  <c r="Y102" i="38"/>
  <c r="P102" i="38"/>
  <c r="S102" i="38" s="1"/>
  <c r="AG101" i="38"/>
  <c r="AF101" i="38"/>
  <c r="AE101" i="38"/>
  <c r="AD101" i="38"/>
  <c r="AC101" i="38"/>
  <c r="AB101" i="38"/>
  <c r="AA101" i="38"/>
  <c r="Z101" i="38"/>
  <c r="Y101" i="38"/>
  <c r="P101" i="38"/>
  <c r="S101" i="38" s="1"/>
  <c r="X101" i="38" s="1"/>
  <c r="AG100" i="38"/>
  <c r="AF100" i="38"/>
  <c r="AE100" i="38"/>
  <c r="AD100" i="38"/>
  <c r="AC100" i="38"/>
  <c r="AB100" i="38"/>
  <c r="AA100" i="38"/>
  <c r="Z100" i="38"/>
  <c r="Y100" i="38"/>
  <c r="P100" i="38"/>
  <c r="AG99" i="38"/>
  <c r="AF99" i="38"/>
  <c r="AE99" i="38"/>
  <c r="AD99" i="38"/>
  <c r="AC99" i="38"/>
  <c r="AB99" i="38"/>
  <c r="AA99" i="38"/>
  <c r="Z99" i="38"/>
  <c r="Y99" i="38"/>
  <c r="P99" i="38"/>
  <c r="S99" i="38" s="1"/>
  <c r="U99" i="38" s="1"/>
  <c r="AG98" i="38"/>
  <c r="AF98" i="38"/>
  <c r="AE98" i="38"/>
  <c r="AD98" i="38"/>
  <c r="AC98" i="38"/>
  <c r="AB98" i="38"/>
  <c r="AA98" i="38"/>
  <c r="Z98" i="38"/>
  <c r="Y98" i="38"/>
  <c r="P98" i="38"/>
  <c r="AH98" i="38" s="1"/>
  <c r="AG97" i="38"/>
  <c r="AF97" i="38"/>
  <c r="AE97" i="38"/>
  <c r="AD97" i="38"/>
  <c r="AC97" i="38"/>
  <c r="AB97" i="38"/>
  <c r="AA97" i="38"/>
  <c r="Z97" i="38"/>
  <c r="Y97" i="38"/>
  <c r="P97" i="38"/>
  <c r="S97" i="38" s="1"/>
  <c r="AG96" i="38"/>
  <c r="AF96" i="38"/>
  <c r="AE96" i="38"/>
  <c r="AD96" i="38"/>
  <c r="AC96" i="38"/>
  <c r="AB96" i="38"/>
  <c r="AA96" i="38"/>
  <c r="Z96" i="38"/>
  <c r="Y96" i="38"/>
  <c r="P96" i="38"/>
  <c r="S96" i="38" s="1"/>
  <c r="X96" i="38" s="1"/>
  <c r="AG95" i="38"/>
  <c r="AF95" i="38"/>
  <c r="AE95" i="38"/>
  <c r="AD95" i="38"/>
  <c r="AC95" i="38"/>
  <c r="AB95" i="38"/>
  <c r="AA95" i="38"/>
  <c r="Z95" i="38"/>
  <c r="Y95" i="38"/>
  <c r="P95" i="38"/>
  <c r="AH95" i="38" s="1"/>
  <c r="AG94" i="38"/>
  <c r="AF94" i="38"/>
  <c r="AE94" i="38"/>
  <c r="AD94" i="38"/>
  <c r="AC94" i="38"/>
  <c r="AB94" i="38"/>
  <c r="AA94" i="38"/>
  <c r="Z94" i="38"/>
  <c r="Y94" i="38"/>
  <c r="P94" i="38"/>
  <c r="S94" i="38" s="1"/>
  <c r="U94" i="38" s="1"/>
  <c r="AG93" i="38"/>
  <c r="AF93" i="38"/>
  <c r="AE93" i="38"/>
  <c r="AD93" i="38"/>
  <c r="AC93" i="38"/>
  <c r="AB93" i="38"/>
  <c r="AA93" i="38"/>
  <c r="Z93" i="38"/>
  <c r="Y93" i="38"/>
  <c r="P93" i="38"/>
  <c r="AH93" i="38" s="1"/>
  <c r="AG92" i="38"/>
  <c r="AF92" i="38"/>
  <c r="AE92" i="38"/>
  <c r="AD92" i="38"/>
  <c r="AC92" i="38"/>
  <c r="AB92" i="38"/>
  <c r="AA92" i="38"/>
  <c r="Z92" i="38"/>
  <c r="Y92" i="38"/>
  <c r="P92" i="38"/>
  <c r="AG91" i="38"/>
  <c r="AF91" i="38"/>
  <c r="AE91" i="38"/>
  <c r="AD91" i="38"/>
  <c r="AC91" i="38"/>
  <c r="AB91" i="38"/>
  <c r="AA91" i="38"/>
  <c r="Z91" i="38"/>
  <c r="Y91" i="38"/>
  <c r="P91" i="38"/>
  <c r="S91" i="38" s="1"/>
  <c r="X91" i="38" s="1"/>
  <c r="AG90" i="38"/>
  <c r="AF90" i="38"/>
  <c r="AE90" i="38"/>
  <c r="AD90" i="38"/>
  <c r="AC90" i="38"/>
  <c r="AB90" i="38"/>
  <c r="AA90" i="38"/>
  <c r="Z90" i="38"/>
  <c r="Y90" i="38"/>
  <c r="P90" i="38"/>
  <c r="AH90" i="38" s="1"/>
  <c r="AG89" i="38"/>
  <c r="AF89" i="38"/>
  <c r="AE89" i="38"/>
  <c r="AD89" i="38"/>
  <c r="AC89" i="38"/>
  <c r="AB89" i="38"/>
  <c r="AA89" i="38"/>
  <c r="Z89" i="38"/>
  <c r="Y89" i="38"/>
  <c r="P89" i="38"/>
  <c r="AG88" i="38"/>
  <c r="AF88" i="38"/>
  <c r="AE88" i="38"/>
  <c r="AD88" i="38"/>
  <c r="AC88" i="38"/>
  <c r="AB88" i="38"/>
  <c r="AA88" i="38"/>
  <c r="Z88" i="38"/>
  <c r="Y88" i="38"/>
  <c r="P88" i="38"/>
  <c r="S88" i="38" s="1"/>
  <c r="AG87" i="38"/>
  <c r="AF87" i="38"/>
  <c r="AE87" i="38"/>
  <c r="AD87" i="38"/>
  <c r="AC87" i="38"/>
  <c r="AB87" i="38"/>
  <c r="AA87" i="38"/>
  <c r="Z87" i="38"/>
  <c r="Y87" i="38"/>
  <c r="P87" i="38"/>
  <c r="S87" i="38" s="1"/>
  <c r="X87" i="38" s="1"/>
  <c r="AG86" i="38"/>
  <c r="AF86" i="38"/>
  <c r="AE86" i="38"/>
  <c r="AD86" i="38"/>
  <c r="AC86" i="38"/>
  <c r="AB86" i="38"/>
  <c r="AA86" i="38"/>
  <c r="Z86" i="38"/>
  <c r="Y86" i="38"/>
  <c r="P86" i="38"/>
  <c r="S86" i="38" s="1"/>
  <c r="AG85" i="38"/>
  <c r="AF85" i="38"/>
  <c r="AE85" i="38"/>
  <c r="AD85" i="38"/>
  <c r="AC85" i="38"/>
  <c r="AB85" i="38"/>
  <c r="AA85" i="38"/>
  <c r="Z85" i="38"/>
  <c r="Y85" i="38"/>
  <c r="P85" i="38"/>
  <c r="S85" i="38" s="1"/>
  <c r="X85" i="38" s="1"/>
  <c r="AD84" i="38"/>
  <c r="AC84" i="38"/>
  <c r="AB84" i="38"/>
  <c r="AG83" i="38"/>
  <c r="AF83" i="38"/>
  <c r="AE83" i="38"/>
  <c r="AD83" i="38"/>
  <c r="AC83" i="38"/>
  <c r="AB83" i="38"/>
  <c r="AA83" i="38"/>
  <c r="Z83" i="38"/>
  <c r="Y83" i="38"/>
  <c r="P83" i="38"/>
  <c r="S83" i="38" s="1"/>
  <c r="AG82" i="38"/>
  <c r="AF82" i="38"/>
  <c r="AE82" i="38"/>
  <c r="AD82" i="38"/>
  <c r="AC82" i="38"/>
  <c r="AB82" i="38"/>
  <c r="AA82" i="38"/>
  <c r="Z82" i="38"/>
  <c r="Y82" i="38"/>
  <c r="P82" i="38"/>
  <c r="S82" i="38" s="1"/>
  <c r="AG81" i="38"/>
  <c r="AF81" i="38"/>
  <c r="AE81" i="38"/>
  <c r="AD81" i="38"/>
  <c r="AC81" i="38"/>
  <c r="AB81" i="38"/>
  <c r="AA81" i="38"/>
  <c r="Z81" i="38"/>
  <c r="Y81" i="38"/>
  <c r="P81" i="38"/>
  <c r="S81" i="38" s="1"/>
  <c r="AG80" i="38"/>
  <c r="AF80" i="38"/>
  <c r="AE80" i="38"/>
  <c r="AD80" i="38"/>
  <c r="AC80" i="38"/>
  <c r="AB80" i="38"/>
  <c r="AA80" i="38"/>
  <c r="Z80" i="38"/>
  <c r="Y80" i="38"/>
  <c r="P80" i="38"/>
  <c r="S80" i="38" s="1"/>
  <c r="AG79" i="38"/>
  <c r="AF79" i="38"/>
  <c r="AE79" i="38"/>
  <c r="AD79" i="38"/>
  <c r="AC79" i="38"/>
  <c r="AB79" i="38"/>
  <c r="AA79" i="38"/>
  <c r="Z79" i="38"/>
  <c r="Y79" i="38"/>
  <c r="P79" i="38"/>
  <c r="AH79" i="38" s="1"/>
  <c r="AG78" i="38"/>
  <c r="AF78" i="38"/>
  <c r="AE78" i="38"/>
  <c r="AD78" i="38"/>
  <c r="AC78" i="38"/>
  <c r="AB78" i="38"/>
  <c r="AA78" i="38"/>
  <c r="Z78" i="38"/>
  <c r="Y78" i="38"/>
  <c r="P78" i="38"/>
  <c r="AG77" i="38"/>
  <c r="AF77" i="38"/>
  <c r="AE77" i="38"/>
  <c r="AD77" i="38"/>
  <c r="AC77" i="38"/>
  <c r="AB77" i="38"/>
  <c r="AA77" i="38"/>
  <c r="Z77" i="38"/>
  <c r="Y77" i="38"/>
  <c r="P77" i="38"/>
  <c r="S77" i="38" s="1"/>
  <c r="AG76" i="38"/>
  <c r="AF76" i="38"/>
  <c r="AE76" i="38"/>
  <c r="AD76" i="38"/>
  <c r="AC76" i="38"/>
  <c r="AB76" i="38"/>
  <c r="AA76" i="38"/>
  <c r="Z76" i="38"/>
  <c r="Y76" i="38"/>
  <c r="P76" i="38"/>
  <c r="AH76" i="38" s="1"/>
  <c r="AG75" i="38"/>
  <c r="AF75" i="38"/>
  <c r="AE75" i="38"/>
  <c r="AD75" i="38"/>
  <c r="AC75" i="38"/>
  <c r="AB75" i="38"/>
  <c r="AA75" i="38"/>
  <c r="Z75" i="38"/>
  <c r="Y75" i="38"/>
  <c r="P75" i="38"/>
  <c r="AH75" i="38" s="1"/>
  <c r="AG74" i="38"/>
  <c r="AF74" i="38"/>
  <c r="AE74" i="38"/>
  <c r="AD74" i="38"/>
  <c r="AC74" i="38"/>
  <c r="AB74" i="38"/>
  <c r="AA74" i="38"/>
  <c r="Z74" i="38"/>
  <c r="Y74" i="38"/>
  <c r="P74" i="38"/>
  <c r="AG73" i="38"/>
  <c r="AF73" i="38"/>
  <c r="AE73" i="38"/>
  <c r="AD73" i="38"/>
  <c r="AC73" i="38"/>
  <c r="AB73" i="38"/>
  <c r="AA73" i="38"/>
  <c r="Z73" i="38"/>
  <c r="Y73" i="38"/>
  <c r="P73" i="38"/>
  <c r="S73" i="38" s="1"/>
  <c r="AG72" i="38"/>
  <c r="AF72" i="38"/>
  <c r="AE72" i="38"/>
  <c r="AD72" i="38"/>
  <c r="AC72" i="38"/>
  <c r="AB72" i="38"/>
  <c r="AA72" i="38"/>
  <c r="Z72" i="38"/>
  <c r="Y72" i="38"/>
  <c r="P72" i="38"/>
  <c r="S72" i="38" s="1"/>
  <c r="AG71" i="38"/>
  <c r="AF71" i="38"/>
  <c r="AE71" i="38"/>
  <c r="AD71" i="38"/>
  <c r="AC71" i="38"/>
  <c r="AB71" i="38"/>
  <c r="AA71" i="38"/>
  <c r="Z71" i="38"/>
  <c r="Y71" i="38"/>
  <c r="P71" i="38"/>
  <c r="AH71" i="38" s="1"/>
  <c r="AG70" i="38"/>
  <c r="AF70" i="38"/>
  <c r="AE70" i="38"/>
  <c r="AD70" i="38"/>
  <c r="AC70" i="38"/>
  <c r="AB70" i="38"/>
  <c r="AA70" i="38"/>
  <c r="Z70" i="38"/>
  <c r="Y70" i="38"/>
  <c r="P70" i="38"/>
  <c r="AG69" i="38"/>
  <c r="AF69" i="38"/>
  <c r="AE69" i="38"/>
  <c r="AD69" i="38"/>
  <c r="AC69" i="38"/>
  <c r="AB69" i="38"/>
  <c r="AA69" i="38"/>
  <c r="Z69" i="38"/>
  <c r="Y69" i="38"/>
  <c r="P69" i="38"/>
  <c r="S69" i="38" s="1"/>
  <c r="AG68" i="38"/>
  <c r="AF68" i="38"/>
  <c r="AE68" i="38"/>
  <c r="AD68" i="38"/>
  <c r="AC68" i="38"/>
  <c r="AB68" i="38"/>
  <c r="AA68" i="38"/>
  <c r="Z68" i="38"/>
  <c r="Y68" i="38"/>
  <c r="P68" i="38"/>
  <c r="AH68" i="38" s="1"/>
  <c r="AG67" i="38"/>
  <c r="AF67" i="38"/>
  <c r="AE67" i="38"/>
  <c r="AD67" i="38"/>
  <c r="AC67" i="38"/>
  <c r="AB67" i="38"/>
  <c r="AA67" i="38"/>
  <c r="Z67" i="38"/>
  <c r="Y67" i="38"/>
  <c r="P67" i="38"/>
  <c r="S67" i="38" s="1"/>
  <c r="U67" i="38" s="1"/>
  <c r="AG66" i="38"/>
  <c r="AF66" i="38"/>
  <c r="AE66" i="38"/>
  <c r="AD66" i="38"/>
  <c r="AC66" i="38"/>
  <c r="AB66" i="38"/>
  <c r="AA66" i="38"/>
  <c r="Z66" i="38"/>
  <c r="Y66" i="38"/>
  <c r="P66" i="38"/>
  <c r="S66" i="38" s="1"/>
  <c r="U66" i="38" s="1"/>
  <c r="AG65" i="38"/>
  <c r="AF65" i="38"/>
  <c r="AE65" i="38"/>
  <c r="AD65" i="38"/>
  <c r="AC65" i="38"/>
  <c r="AB65" i="38"/>
  <c r="AA65" i="38"/>
  <c r="Z65" i="38"/>
  <c r="Y65" i="38"/>
  <c r="P65" i="38"/>
  <c r="AH65" i="38" s="1"/>
  <c r="AG64" i="38"/>
  <c r="AF64" i="38"/>
  <c r="AE64" i="38"/>
  <c r="AD64" i="38"/>
  <c r="AC64" i="38"/>
  <c r="AB64" i="38"/>
  <c r="AA64" i="38"/>
  <c r="Z64" i="38"/>
  <c r="Y64" i="38"/>
  <c r="P64" i="38"/>
  <c r="AG63" i="38"/>
  <c r="AF63" i="38"/>
  <c r="AE63" i="38"/>
  <c r="AD63" i="38"/>
  <c r="AC63" i="38"/>
  <c r="AB63" i="38"/>
  <c r="AA63" i="38"/>
  <c r="Z63" i="38"/>
  <c r="Y63" i="38"/>
  <c r="P63" i="38"/>
  <c r="S63" i="38" s="1"/>
  <c r="AG62" i="38"/>
  <c r="AF62" i="38"/>
  <c r="AE62" i="38"/>
  <c r="AD62" i="38"/>
  <c r="AC62" i="38"/>
  <c r="AB62" i="38"/>
  <c r="AA62" i="38"/>
  <c r="Z62" i="38"/>
  <c r="Y62" i="38"/>
  <c r="P62" i="38"/>
  <c r="AH62" i="38" s="1"/>
  <c r="AG61" i="38"/>
  <c r="AF61" i="38"/>
  <c r="AE61" i="38"/>
  <c r="AD61" i="38"/>
  <c r="AC61" i="38"/>
  <c r="AB61" i="38"/>
  <c r="AA61" i="38"/>
  <c r="Z61" i="38"/>
  <c r="Y61" i="38"/>
  <c r="P61" i="38"/>
  <c r="AH61" i="38" s="1"/>
  <c r="AG60" i="38"/>
  <c r="AF60" i="38"/>
  <c r="AE60" i="38"/>
  <c r="AD60" i="38"/>
  <c r="AC60" i="38"/>
  <c r="AB60" i="38"/>
  <c r="AA60" i="38"/>
  <c r="Z60" i="38"/>
  <c r="Y60" i="38"/>
  <c r="P60" i="38"/>
  <c r="S60" i="38" s="1"/>
  <c r="AG59" i="38"/>
  <c r="AF59" i="38"/>
  <c r="AE59" i="38"/>
  <c r="AD59" i="38"/>
  <c r="AC59" i="38"/>
  <c r="AB59" i="38"/>
  <c r="AA59" i="38"/>
  <c r="Z59" i="38"/>
  <c r="Y59" i="38"/>
  <c r="P59" i="38"/>
  <c r="S59" i="38" s="1"/>
  <c r="AG58" i="38"/>
  <c r="AF58" i="38"/>
  <c r="AE58" i="38"/>
  <c r="AD58" i="38"/>
  <c r="AC58" i="38"/>
  <c r="AB58" i="38"/>
  <c r="AA58" i="38"/>
  <c r="Z58" i="38"/>
  <c r="Y58" i="38"/>
  <c r="P58" i="38"/>
  <c r="S58" i="38" s="1"/>
  <c r="AG57" i="38"/>
  <c r="AF57" i="38"/>
  <c r="AE57" i="38"/>
  <c r="AD57" i="38"/>
  <c r="AC57" i="38"/>
  <c r="AB57" i="38"/>
  <c r="AA57" i="38"/>
  <c r="Z57" i="38"/>
  <c r="Y57" i="38"/>
  <c r="P57" i="38"/>
  <c r="S57" i="38" s="1"/>
  <c r="AG56" i="38"/>
  <c r="AF56" i="38"/>
  <c r="AE56" i="38"/>
  <c r="AD56" i="38"/>
  <c r="AC56" i="38"/>
  <c r="AB56" i="38"/>
  <c r="AA56" i="38"/>
  <c r="Z56" i="38"/>
  <c r="Y56" i="38"/>
  <c r="P56" i="38"/>
  <c r="AH56" i="38" s="1"/>
  <c r="AG55" i="38"/>
  <c r="AF55" i="38"/>
  <c r="AE55" i="38"/>
  <c r="AD55" i="38"/>
  <c r="AC55" i="38"/>
  <c r="AB55" i="38"/>
  <c r="AA55" i="38"/>
  <c r="Z55" i="38"/>
  <c r="Y55" i="38"/>
  <c r="P55" i="38"/>
  <c r="AH55" i="38" s="1"/>
  <c r="AG54" i="38"/>
  <c r="AF54" i="38"/>
  <c r="AE54" i="38"/>
  <c r="AD54" i="38"/>
  <c r="AC54" i="38"/>
  <c r="AB54" i="38"/>
  <c r="AA54" i="38"/>
  <c r="Z54" i="38"/>
  <c r="Y54" i="38"/>
  <c r="P54" i="38"/>
  <c r="AG53" i="38"/>
  <c r="AF53" i="38"/>
  <c r="AE53" i="38"/>
  <c r="AD53" i="38"/>
  <c r="AC53" i="38"/>
  <c r="AB53" i="38"/>
  <c r="AA53" i="38"/>
  <c r="Z53" i="38"/>
  <c r="Y53" i="38"/>
  <c r="P53" i="38"/>
  <c r="S53" i="38" s="1"/>
  <c r="AI53" i="38" s="1"/>
  <c r="AG52" i="38"/>
  <c r="AF52" i="38"/>
  <c r="AE52" i="38"/>
  <c r="AD52" i="38"/>
  <c r="AC52" i="38"/>
  <c r="AB52" i="38"/>
  <c r="AA52" i="38"/>
  <c r="Z52" i="38"/>
  <c r="Y52" i="38"/>
  <c r="P52" i="38"/>
  <c r="S52" i="38" s="1"/>
  <c r="X52" i="38" s="1"/>
  <c r="AG51" i="38"/>
  <c r="AF51" i="38"/>
  <c r="AE51" i="38"/>
  <c r="AD51" i="38"/>
  <c r="AC51" i="38"/>
  <c r="AB51" i="38"/>
  <c r="AA51" i="38"/>
  <c r="Z51" i="38"/>
  <c r="Y51" i="38"/>
  <c r="P51" i="38"/>
  <c r="AH51" i="38" s="1"/>
  <c r="AG50" i="38"/>
  <c r="AF50" i="38"/>
  <c r="AE50" i="38"/>
  <c r="AD50" i="38"/>
  <c r="AC50" i="38"/>
  <c r="AB50" i="38"/>
  <c r="AA50" i="38"/>
  <c r="Z50" i="38"/>
  <c r="Y50" i="38"/>
  <c r="P50" i="38"/>
  <c r="AH50" i="38" s="1"/>
  <c r="AG49" i="38"/>
  <c r="AF49" i="38"/>
  <c r="AE49" i="38"/>
  <c r="AD49" i="38"/>
  <c r="AC49" i="38"/>
  <c r="AB49" i="38"/>
  <c r="AA49" i="38"/>
  <c r="Z49" i="38"/>
  <c r="Y49" i="38"/>
  <c r="P49" i="38"/>
  <c r="AG48" i="38"/>
  <c r="AF48" i="38"/>
  <c r="AE48" i="38"/>
  <c r="AD48" i="38"/>
  <c r="AC48" i="38"/>
  <c r="AB48" i="38"/>
  <c r="AA48" i="38"/>
  <c r="Z48" i="38"/>
  <c r="Y48" i="38"/>
  <c r="P48" i="38"/>
  <c r="AH48" i="38" s="1"/>
  <c r="AG47" i="38"/>
  <c r="AF47" i="38"/>
  <c r="AE47" i="38"/>
  <c r="AD47" i="38"/>
  <c r="AC47" i="38"/>
  <c r="AB47" i="38"/>
  <c r="AA47" i="38"/>
  <c r="Z47" i="38"/>
  <c r="Y47" i="38"/>
  <c r="P47" i="38"/>
  <c r="AH47" i="38" s="1"/>
  <c r="AG46" i="38"/>
  <c r="AF46" i="38"/>
  <c r="AE46" i="38"/>
  <c r="AD46" i="38"/>
  <c r="AC46" i="38"/>
  <c r="AB46" i="38"/>
  <c r="AA46" i="38"/>
  <c r="Z46" i="38"/>
  <c r="Y46" i="38"/>
  <c r="P46" i="38"/>
  <c r="AG45" i="38"/>
  <c r="AF45" i="38"/>
  <c r="AE45" i="38"/>
  <c r="AD45" i="38"/>
  <c r="AC45" i="38"/>
  <c r="AB45" i="38"/>
  <c r="AA45" i="38"/>
  <c r="Z45" i="38"/>
  <c r="Y45" i="38"/>
  <c r="P45" i="38"/>
  <c r="S45" i="38" s="1"/>
  <c r="AI45" i="38" s="1"/>
  <c r="AG44" i="38"/>
  <c r="AF44" i="38"/>
  <c r="AE44" i="38"/>
  <c r="AD44" i="38"/>
  <c r="AC44" i="38"/>
  <c r="AB44" i="38"/>
  <c r="AA44" i="38"/>
  <c r="Z44" i="38"/>
  <c r="Y44" i="38"/>
  <c r="P44" i="38"/>
  <c r="S44" i="38" s="1"/>
  <c r="AG43" i="38"/>
  <c r="AF43" i="38"/>
  <c r="AE43" i="38"/>
  <c r="AD43" i="38"/>
  <c r="AC43" i="38"/>
  <c r="AB43" i="38"/>
  <c r="AA43" i="38"/>
  <c r="Z43" i="38"/>
  <c r="Y43" i="38"/>
  <c r="P43" i="38"/>
  <c r="S43" i="38" s="1"/>
  <c r="X43" i="38" s="1"/>
  <c r="AG42" i="38"/>
  <c r="AF42" i="38"/>
  <c r="AE42" i="38"/>
  <c r="AD42" i="38"/>
  <c r="AC42" i="38"/>
  <c r="AB42" i="38"/>
  <c r="AA42" i="38"/>
  <c r="Z42" i="38"/>
  <c r="Y42" i="38"/>
  <c r="P42" i="38"/>
  <c r="AG41" i="38"/>
  <c r="AF41" i="38"/>
  <c r="AE41" i="38"/>
  <c r="AD41" i="38"/>
  <c r="AC41" i="38"/>
  <c r="AB41" i="38"/>
  <c r="AA41" i="38"/>
  <c r="Z41" i="38"/>
  <c r="Y41" i="38"/>
  <c r="P41" i="38"/>
  <c r="S41" i="38" s="1"/>
  <c r="AG40" i="38"/>
  <c r="AF40" i="38"/>
  <c r="AE40" i="38"/>
  <c r="AD40" i="38"/>
  <c r="AC40" i="38"/>
  <c r="AB40" i="38"/>
  <c r="AA40" i="38"/>
  <c r="Z40" i="38"/>
  <c r="Y40" i="38"/>
  <c r="P40" i="38"/>
  <c r="AH40" i="38" s="1"/>
  <c r="AG39" i="38"/>
  <c r="AF39" i="38"/>
  <c r="AE39" i="38"/>
  <c r="AD39" i="38"/>
  <c r="AC39" i="38"/>
  <c r="AB39" i="38"/>
  <c r="AA39" i="38"/>
  <c r="Z39" i="38"/>
  <c r="Y39" i="38"/>
  <c r="P39" i="38"/>
  <c r="AG38" i="38"/>
  <c r="AF38" i="38"/>
  <c r="AE38" i="38"/>
  <c r="AD38" i="38"/>
  <c r="AC38" i="38"/>
  <c r="AB38" i="38"/>
  <c r="AA38" i="38"/>
  <c r="Z38" i="38"/>
  <c r="Y38" i="38"/>
  <c r="P38" i="38"/>
  <c r="S38" i="38" s="1"/>
  <c r="AI38" i="38" s="1"/>
  <c r="AG37" i="38"/>
  <c r="AF37" i="38"/>
  <c r="AE37" i="38"/>
  <c r="AD37" i="38"/>
  <c r="AC37" i="38"/>
  <c r="AB37" i="38"/>
  <c r="AA37" i="38"/>
  <c r="Z37" i="38"/>
  <c r="Y37" i="38"/>
  <c r="P37" i="38"/>
  <c r="S37" i="38" s="1"/>
  <c r="AI37" i="38" s="1"/>
  <c r="AG36" i="38"/>
  <c r="AF36" i="38"/>
  <c r="AE36" i="38"/>
  <c r="AD36" i="38"/>
  <c r="AC36" i="38"/>
  <c r="AB36" i="38"/>
  <c r="AA36" i="38"/>
  <c r="Z36" i="38"/>
  <c r="Y36" i="38"/>
  <c r="P36" i="38"/>
  <c r="S36" i="38" s="1"/>
  <c r="AG35" i="38"/>
  <c r="AF35" i="38"/>
  <c r="AE35" i="38"/>
  <c r="AD35" i="38"/>
  <c r="AC35" i="38"/>
  <c r="AB35" i="38"/>
  <c r="AA35" i="38"/>
  <c r="Z35" i="38"/>
  <c r="Y35" i="38"/>
  <c r="P35" i="38"/>
  <c r="S35" i="38" s="1"/>
  <c r="AG34" i="38"/>
  <c r="AF34" i="38"/>
  <c r="AE34" i="38"/>
  <c r="AD34" i="38"/>
  <c r="AC34" i="38"/>
  <c r="AB34" i="38"/>
  <c r="AA34" i="38"/>
  <c r="Z34" i="38"/>
  <c r="Y34" i="38"/>
  <c r="P34" i="38"/>
  <c r="AH34" i="38" s="1"/>
  <c r="AG33" i="38"/>
  <c r="AF33" i="38"/>
  <c r="AE33" i="38"/>
  <c r="AD33" i="38"/>
  <c r="AC33" i="38"/>
  <c r="AB33" i="38"/>
  <c r="AA33" i="38"/>
  <c r="Z33" i="38"/>
  <c r="Y33" i="38"/>
  <c r="P33" i="38"/>
  <c r="AG32" i="38"/>
  <c r="AF32" i="38"/>
  <c r="AE32" i="38"/>
  <c r="AD32" i="38"/>
  <c r="AC32" i="38"/>
  <c r="AB32" i="38"/>
  <c r="AA32" i="38"/>
  <c r="Z32" i="38"/>
  <c r="Y32" i="38"/>
  <c r="P32" i="38"/>
  <c r="S32" i="38" s="1"/>
  <c r="AG31" i="38"/>
  <c r="AF31" i="38"/>
  <c r="AE31" i="38"/>
  <c r="AD31" i="38"/>
  <c r="AC31" i="38"/>
  <c r="AB31" i="38"/>
  <c r="AA31" i="38"/>
  <c r="Z31" i="38"/>
  <c r="Y31" i="38"/>
  <c r="P31" i="38"/>
  <c r="S31" i="38" s="1"/>
  <c r="AG30" i="38"/>
  <c r="AF30" i="38"/>
  <c r="AE30" i="38"/>
  <c r="AD30" i="38"/>
  <c r="AC30" i="38"/>
  <c r="AB30" i="38"/>
  <c r="AA30" i="38"/>
  <c r="Z30" i="38"/>
  <c r="Y30" i="38"/>
  <c r="P30" i="38"/>
  <c r="AH30" i="38" s="1"/>
  <c r="AG29" i="38"/>
  <c r="AF29" i="38"/>
  <c r="AE29" i="38"/>
  <c r="AD29" i="38"/>
  <c r="AC29" i="38"/>
  <c r="AB29" i="38"/>
  <c r="AA29" i="38"/>
  <c r="Z29" i="38"/>
  <c r="Y29" i="38"/>
  <c r="P29" i="38"/>
  <c r="AH29" i="38" s="1"/>
  <c r="AG28" i="38"/>
  <c r="AF28" i="38"/>
  <c r="AE28" i="38"/>
  <c r="AD28" i="38"/>
  <c r="AC28" i="38"/>
  <c r="AB28" i="38"/>
  <c r="AA28" i="38"/>
  <c r="Z28" i="38"/>
  <c r="Y28" i="38"/>
  <c r="P28" i="38"/>
  <c r="AH28" i="38" s="1"/>
  <c r="AG27" i="38"/>
  <c r="AF27" i="38"/>
  <c r="AE27" i="38"/>
  <c r="AD27" i="38"/>
  <c r="AC27" i="38"/>
  <c r="AB27" i="38"/>
  <c r="AA27" i="38"/>
  <c r="Z27" i="38"/>
  <c r="Y27" i="38"/>
  <c r="P27" i="38"/>
  <c r="AH27" i="38" s="1"/>
  <c r="AG26" i="38"/>
  <c r="AF26" i="38"/>
  <c r="AE26" i="38"/>
  <c r="AD26" i="38"/>
  <c r="AC26" i="38"/>
  <c r="AB26" i="38"/>
  <c r="AA26" i="38"/>
  <c r="Z26" i="38"/>
  <c r="Y26" i="38"/>
  <c r="P26" i="38"/>
  <c r="AG25" i="38"/>
  <c r="AF25" i="38"/>
  <c r="AE25" i="38"/>
  <c r="AD25" i="38"/>
  <c r="AC25" i="38"/>
  <c r="AB25" i="38"/>
  <c r="AA25" i="38"/>
  <c r="Z25" i="38"/>
  <c r="Y25" i="38"/>
  <c r="P25" i="38"/>
  <c r="S25" i="38" s="1"/>
  <c r="AG24" i="38"/>
  <c r="AF24" i="38"/>
  <c r="AE24" i="38"/>
  <c r="AD24" i="38"/>
  <c r="AC24" i="38"/>
  <c r="AB24" i="38"/>
  <c r="AA24" i="38"/>
  <c r="Z24" i="38"/>
  <c r="Y24" i="38"/>
  <c r="P24" i="38"/>
  <c r="AH24" i="38" s="1"/>
  <c r="AG23" i="38"/>
  <c r="AF23" i="38"/>
  <c r="AE23" i="38"/>
  <c r="AD23" i="38"/>
  <c r="AC23" i="38"/>
  <c r="AB23" i="38"/>
  <c r="AA23" i="38"/>
  <c r="Z23" i="38"/>
  <c r="Y23" i="38"/>
  <c r="P23" i="38"/>
  <c r="S23" i="38" s="1"/>
  <c r="AG22" i="38"/>
  <c r="AF22" i="38"/>
  <c r="AE22" i="38"/>
  <c r="AD22" i="38"/>
  <c r="AC22" i="38"/>
  <c r="AB22" i="38"/>
  <c r="AA22" i="38"/>
  <c r="Z22" i="38"/>
  <c r="Y22" i="38"/>
  <c r="P22" i="38"/>
  <c r="AH22" i="38" s="1"/>
  <c r="AG21" i="38"/>
  <c r="AF21" i="38"/>
  <c r="AE21" i="38"/>
  <c r="AD21" i="38"/>
  <c r="AC21" i="38"/>
  <c r="AB21" i="38"/>
  <c r="AA21" i="38"/>
  <c r="Z21" i="38"/>
  <c r="Y21" i="38"/>
  <c r="P21" i="38"/>
  <c r="AH21" i="38" s="1"/>
  <c r="AG20" i="38"/>
  <c r="AF20" i="38"/>
  <c r="AE20" i="38"/>
  <c r="AD20" i="38"/>
  <c r="AC20" i="38"/>
  <c r="AB20" i="38"/>
  <c r="AA20" i="38"/>
  <c r="Z20" i="38"/>
  <c r="Y20" i="38"/>
  <c r="P20" i="38"/>
  <c r="AH20" i="38" s="1"/>
  <c r="AG19" i="38"/>
  <c r="AF19" i="38"/>
  <c r="AE19" i="38"/>
  <c r="AD19" i="38"/>
  <c r="AC19" i="38"/>
  <c r="AB19" i="38"/>
  <c r="AA19" i="38"/>
  <c r="Z19" i="38"/>
  <c r="Y19" i="38"/>
  <c r="P19" i="38"/>
  <c r="AH19" i="38" s="1"/>
  <c r="AG18" i="38"/>
  <c r="AF18" i="38"/>
  <c r="AE18" i="38"/>
  <c r="AD18" i="38"/>
  <c r="AC18" i="38"/>
  <c r="AB18" i="38"/>
  <c r="AA18" i="38"/>
  <c r="Z18" i="38"/>
  <c r="Y18" i="38"/>
  <c r="P18" i="38"/>
  <c r="S18" i="38" s="1"/>
  <c r="X18" i="38" s="1"/>
  <c r="AG17" i="38"/>
  <c r="AF17" i="38"/>
  <c r="AE17" i="38"/>
  <c r="AD17" i="38"/>
  <c r="AC17" i="38"/>
  <c r="AB17" i="38"/>
  <c r="AA17" i="38"/>
  <c r="Z17" i="38"/>
  <c r="Y17" i="38"/>
  <c r="P17" i="38"/>
  <c r="S17" i="38" s="1"/>
  <c r="AG16" i="38"/>
  <c r="AF16" i="38"/>
  <c r="AE16" i="38"/>
  <c r="AD16" i="38"/>
  <c r="AC16" i="38"/>
  <c r="AB16" i="38"/>
  <c r="AA16" i="38"/>
  <c r="Z16" i="38"/>
  <c r="Y16" i="38"/>
  <c r="P16" i="38"/>
  <c r="S16" i="38" s="1"/>
  <c r="AG15" i="38"/>
  <c r="AF15" i="38"/>
  <c r="AE15" i="38"/>
  <c r="AD15" i="38"/>
  <c r="AC15" i="38"/>
  <c r="AB15" i="38"/>
  <c r="AA15" i="38"/>
  <c r="Z15" i="38"/>
  <c r="Y15" i="38"/>
  <c r="P15" i="38"/>
  <c r="AH15" i="38" s="1"/>
  <c r="AG14" i="38"/>
  <c r="AF14" i="38"/>
  <c r="AE14" i="38"/>
  <c r="AD14" i="38"/>
  <c r="AC14" i="38"/>
  <c r="AB14" i="38"/>
  <c r="AA14" i="38"/>
  <c r="Z14" i="38"/>
  <c r="Y14" i="38"/>
  <c r="P14" i="38"/>
  <c r="S14" i="38" s="1"/>
  <c r="AI14" i="38" s="1"/>
  <c r="AG13" i="38"/>
  <c r="AF13" i="38"/>
  <c r="AE13" i="38"/>
  <c r="AD13" i="38"/>
  <c r="AC13" i="38"/>
  <c r="AB13" i="38"/>
  <c r="AA13" i="38"/>
  <c r="Z13" i="38"/>
  <c r="Y13" i="38"/>
  <c r="P13" i="38"/>
  <c r="S13" i="38" s="1"/>
  <c r="AG12" i="38"/>
  <c r="AF12" i="38"/>
  <c r="AE12" i="38"/>
  <c r="AD12" i="38"/>
  <c r="AC12" i="38"/>
  <c r="AB12" i="38"/>
  <c r="AA12" i="38"/>
  <c r="Z12" i="38"/>
  <c r="Y12" i="38"/>
  <c r="P12" i="38"/>
  <c r="AH12" i="38" s="1"/>
  <c r="AG11" i="38"/>
  <c r="AF11" i="38"/>
  <c r="AE11" i="38"/>
  <c r="AD11" i="38"/>
  <c r="AC11" i="38"/>
  <c r="AB11" i="38"/>
  <c r="AA11" i="38"/>
  <c r="Z11" i="38"/>
  <c r="Y11" i="38"/>
  <c r="P11" i="38"/>
  <c r="AH11" i="38" s="1"/>
  <c r="AE162" i="37"/>
  <c r="AD162" i="37"/>
  <c r="AC162" i="37"/>
  <c r="AB162" i="37"/>
  <c r="AA162" i="37"/>
  <c r="Z162" i="37"/>
  <c r="Y162" i="37"/>
  <c r="X162" i="37"/>
  <c r="W162" i="37"/>
  <c r="P162" i="37"/>
  <c r="Q162" i="37" s="1"/>
  <c r="S162" i="37" s="1"/>
  <c r="AE161" i="37"/>
  <c r="AD161" i="37"/>
  <c r="AC161" i="37"/>
  <c r="AB161" i="37"/>
  <c r="AA161" i="37"/>
  <c r="Z161" i="37"/>
  <c r="Y161" i="37"/>
  <c r="X161" i="37"/>
  <c r="W161" i="37"/>
  <c r="P161" i="37"/>
  <c r="AF161" i="37" s="1"/>
  <c r="AE160" i="37"/>
  <c r="AD160" i="37"/>
  <c r="AC160" i="37"/>
  <c r="AB160" i="37"/>
  <c r="AA160" i="37"/>
  <c r="Z160" i="37"/>
  <c r="Y160" i="37"/>
  <c r="X160" i="37"/>
  <c r="W160" i="37"/>
  <c r="Q160" i="37"/>
  <c r="S160" i="37" s="1"/>
  <c r="P160" i="37"/>
  <c r="AF160" i="37" s="1"/>
  <c r="AE159" i="37"/>
  <c r="AD159" i="37"/>
  <c r="AC159" i="37"/>
  <c r="AB159" i="37"/>
  <c r="AA159" i="37"/>
  <c r="Z159" i="37"/>
  <c r="Y159" i="37"/>
  <c r="X159" i="37"/>
  <c r="W159" i="37"/>
  <c r="P159" i="37"/>
  <c r="AF159" i="37" s="1"/>
  <c r="AE158" i="37"/>
  <c r="AD158" i="37"/>
  <c r="AC158" i="37"/>
  <c r="AB158" i="37"/>
  <c r="AA158" i="37"/>
  <c r="Z158" i="37"/>
  <c r="Y158" i="37"/>
  <c r="X158" i="37"/>
  <c r="W158" i="37"/>
  <c r="P158" i="37"/>
  <c r="Q158" i="37" s="1"/>
  <c r="S158" i="37" s="1"/>
  <c r="AF157" i="37"/>
  <c r="AE157" i="37"/>
  <c r="AD157" i="37"/>
  <c r="AC157" i="37"/>
  <c r="AB157" i="37"/>
  <c r="AA157" i="37"/>
  <c r="Z157" i="37"/>
  <c r="Y157" i="37"/>
  <c r="X157" i="37"/>
  <c r="W157" i="37"/>
  <c r="Q157" i="37"/>
  <c r="S157" i="37" s="1"/>
  <c r="P157" i="37"/>
  <c r="AE156" i="37"/>
  <c r="AD156" i="37"/>
  <c r="AC156" i="37"/>
  <c r="AB156" i="37"/>
  <c r="AA156" i="37"/>
  <c r="Z156" i="37"/>
  <c r="Y156" i="37"/>
  <c r="X156" i="37"/>
  <c r="W156" i="37"/>
  <c r="P156" i="37"/>
  <c r="AF156" i="37" s="1"/>
  <c r="AE155" i="37"/>
  <c r="AD155" i="37"/>
  <c r="AC155" i="37"/>
  <c r="AB155" i="37"/>
  <c r="AA155" i="37"/>
  <c r="Z155" i="37"/>
  <c r="Y155" i="37"/>
  <c r="X155" i="37"/>
  <c r="W155" i="37"/>
  <c r="P155" i="37"/>
  <c r="Q155" i="37" s="1"/>
  <c r="AF154" i="37"/>
  <c r="AE154" i="37"/>
  <c r="AD154" i="37"/>
  <c r="AC154" i="37"/>
  <c r="AB154" i="37"/>
  <c r="AA154" i="37"/>
  <c r="Z154" i="37"/>
  <c r="Y154" i="37"/>
  <c r="X154" i="37"/>
  <c r="W154" i="37"/>
  <c r="P154" i="37"/>
  <c r="Q154" i="37" s="1"/>
  <c r="S154" i="37" s="1"/>
  <c r="AE153" i="37"/>
  <c r="AD153" i="37"/>
  <c r="AC153" i="37"/>
  <c r="AB153" i="37"/>
  <c r="AA153" i="37"/>
  <c r="Z153" i="37"/>
  <c r="Y153" i="37"/>
  <c r="X153" i="37"/>
  <c r="W153" i="37"/>
  <c r="P153" i="37"/>
  <c r="AF153" i="37" s="1"/>
  <c r="AE152" i="37"/>
  <c r="AD152" i="37"/>
  <c r="AC152" i="37"/>
  <c r="AB152" i="37"/>
  <c r="AA152" i="37"/>
  <c r="Z152" i="37"/>
  <c r="Y152" i="37"/>
  <c r="X152" i="37"/>
  <c r="W152" i="37"/>
  <c r="P152" i="37"/>
  <c r="AF152" i="37" s="1"/>
  <c r="AE151" i="37"/>
  <c r="AD151" i="37"/>
  <c r="AC151" i="37"/>
  <c r="AB151" i="37"/>
  <c r="AA151" i="37"/>
  <c r="Z151" i="37"/>
  <c r="Y151" i="37"/>
  <c r="X151" i="37"/>
  <c r="W151" i="37"/>
  <c r="P151" i="37"/>
  <c r="Q151" i="37" s="1"/>
  <c r="S151" i="37" s="1"/>
  <c r="AF150" i="37"/>
  <c r="AE150" i="37"/>
  <c r="AD150" i="37"/>
  <c r="AC150" i="37"/>
  <c r="AB150" i="37"/>
  <c r="AA150" i="37"/>
  <c r="Z150" i="37"/>
  <c r="Y150" i="37"/>
  <c r="X150" i="37"/>
  <c r="W150" i="37"/>
  <c r="Q150" i="37"/>
  <c r="S150" i="37" s="1"/>
  <c r="P150" i="37"/>
  <c r="AE149" i="37"/>
  <c r="AD149" i="37"/>
  <c r="AC149" i="37"/>
  <c r="AB149" i="37"/>
  <c r="AA149" i="37"/>
  <c r="Z149" i="37"/>
  <c r="Y149" i="37"/>
  <c r="X149" i="37"/>
  <c r="W149" i="37"/>
  <c r="P149" i="37"/>
  <c r="AF149" i="37" s="1"/>
  <c r="AE148" i="37"/>
  <c r="AD148" i="37"/>
  <c r="AC148" i="37"/>
  <c r="AB148" i="37"/>
  <c r="AA148" i="37"/>
  <c r="Z148" i="37"/>
  <c r="Y148" i="37"/>
  <c r="X148" i="37"/>
  <c r="W148" i="37"/>
  <c r="P148" i="37"/>
  <c r="AF148" i="37" s="1"/>
  <c r="AE147" i="37"/>
  <c r="AD147" i="37"/>
  <c r="AC147" i="37"/>
  <c r="AB147" i="37"/>
  <c r="AA147" i="37"/>
  <c r="Z147" i="37"/>
  <c r="Y147" i="37"/>
  <c r="X147" i="37"/>
  <c r="W147" i="37"/>
  <c r="P147" i="37"/>
  <c r="Q147" i="37" s="1"/>
  <c r="S147" i="37" s="1"/>
  <c r="AE146" i="37"/>
  <c r="AD146" i="37"/>
  <c r="AC146" i="37"/>
  <c r="AB146" i="37"/>
  <c r="AA146" i="37"/>
  <c r="Z146" i="37"/>
  <c r="Y146" i="37"/>
  <c r="X146" i="37"/>
  <c r="W146" i="37"/>
  <c r="P146" i="37"/>
  <c r="AF146" i="37" s="1"/>
  <c r="AE145" i="37"/>
  <c r="AD145" i="37"/>
  <c r="AC145" i="37"/>
  <c r="AB145" i="37"/>
  <c r="AA145" i="37"/>
  <c r="Z145" i="37"/>
  <c r="Y145" i="37"/>
  <c r="X145" i="37"/>
  <c r="W145" i="37"/>
  <c r="P145" i="37"/>
  <c r="AF145" i="37" s="1"/>
  <c r="AE144" i="37"/>
  <c r="AD144" i="37"/>
  <c r="AC144" i="37"/>
  <c r="AB144" i="37"/>
  <c r="AA144" i="37"/>
  <c r="Z144" i="37"/>
  <c r="Y144" i="37"/>
  <c r="X144" i="37"/>
  <c r="W144" i="37"/>
  <c r="P144" i="37"/>
  <c r="AF144" i="37" s="1"/>
  <c r="AF143" i="37"/>
  <c r="AE143" i="37"/>
  <c r="AD143" i="37"/>
  <c r="AC143" i="37"/>
  <c r="AB143" i="37"/>
  <c r="AA143" i="37"/>
  <c r="Z143" i="37"/>
  <c r="Y143" i="37"/>
  <c r="X143" i="37"/>
  <c r="W143" i="37"/>
  <c r="P143" i="37"/>
  <c r="Q143" i="37" s="1"/>
  <c r="S143" i="37" s="1"/>
  <c r="AE142" i="37"/>
  <c r="AD142" i="37"/>
  <c r="AC142" i="37"/>
  <c r="AB142" i="37"/>
  <c r="AA142" i="37"/>
  <c r="Z142" i="37"/>
  <c r="Y142" i="37"/>
  <c r="X142" i="37"/>
  <c r="W142" i="37"/>
  <c r="P142" i="37"/>
  <c r="Q142" i="37" s="1"/>
  <c r="AE141" i="37"/>
  <c r="AD141" i="37"/>
  <c r="AC141" i="37"/>
  <c r="AB141" i="37"/>
  <c r="AA141" i="37"/>
  <c r="Z141" i="37"/>
  <c r="Y141" i="37"/>
  <c r="X141" i="37"/>
  <c r="W141" i="37"/>
  <c r="Q141" i="37"/>
  <c r="V141" i="37" s="1"/>
  <c r="P141" i="37"/>
  <c r="AF141" i="37" s="1"/>
  <c r="AE140" i="37"/>
  <c r="AD140" i="37"/>
  <c r="AC140" i="37"/>
  <c r="AB140" i="37"/>
  <c r="AA140" i="37"/>
  <c r="Z140" i="37"/>
  <c r="Y140" i="37"/>
  <c r="X140" i="37"/>
  <c r="W140" i="37"/>
  <c r="P140" i="37"/>
  <c r="Q140" i="37" s="1"/>
  <c r="AF139" i="37"/>
  <c r="AE139" i="37"/>
  <c r="AD139" i="37"/>
  <c r="AC139" i="37"/>
  <c r="AB139" i="37"/>
  <c r="AA139" i="37"/>
  <c r="Z139" i="37"/>
  <c r="Y139" i="37"/>
  <c r="X139" i="37"/>
  <c r="W139" i="37"/>
  <c r="P139" i="37"/>
  <c r="Q139" i="37" s="1"/>
  <c r="S139" i="37" s="1"/>
  <c r="AE138" i="37"/>
  <c r="AD138" i="37"/>
  <c r="AC138" i="37"/>
  <c r="AB138" i="37"/>
  <c r="AA138" i="37"/>
  <c r="Z138" i="37"/>
  <c r="Y138" i="37"/>
  <c r="X138" i="37"/>
  <c r="W138" i="37"/>
  <c r="P138" i="37"/>
  <c r="AF138" i="37" s="1"/>
  <c r="AE137" i="37"/>
  <c r="AD137" i="37"/>
  <c r="AC137" i="37"/>
  <c r="AB137" i="37"/>
  <c r="AA137" i="37"/>
  <c r="Z137" i="37"/>
  <c r="Y137" i="37"/>
  <c r="X137" i="37"/>
  <c r="W137" i="37"/>
  <c r="P137" i="37"/>
  <c r="AF137" i="37" s="1"/>
  <c r="AE136" i="37"/>
  <c r="AD136" i="37"/>
  <c r="AC136" i="37"/>
  <c r="AB136" i="37"/>
  <c r="AA136" i="37"/>
  <c r="Z136" i="37"/>
  <c r="Y136" i="37"/>
  <c r="X136" i="37"/>
  <c r="W136" i="37"/>
  <c r="P136" i="37"/>
  <c r="AF136" i="37" s="1"/>
  <c r="AE135" i="37"/>
  <c r="AD135" i="37"/>
  <c r="AC135" i="37"/>
  <c r="AB135" i="37"/>
  <c r="AA135" i="37"/>
  <c r="Z135" i="37"/>
  <c r="Y135" i="37"/>
  <c r="X135" i="37"/>
  <c r="W135" i="37"/>
  <c r="P135" i="37"/>
  <c r="Q135" i="37" s="1"/>
  <c r="S135" i="37" s="1"/>
  <c r="AF134" i="37"/>
  <c r="AE134" i="37"/>
  <c r="AD134" i="37"/>
  <c r="AC134" i="37"/>
  <c r="AB134" i="37"/>
  <c r="AA134" i="37"/>
  <c r="Z134" i="37"/>
  <c r="Y134" i="37"/>
  <c r="X134" i="37"/>
  <c r="W134" i="37"/>
  <c r="P134" i="37"/>
  <c r="Q134" i="37" s="1"/>
  <c r="S134" i="37" s="1"/>
  <c r="AE133" i="37"/>
  <c r="AD133" i="37"/>
  <c r="AC133" i="37"/>
  <c r="AB133" i="37"/>
  <c r="AA133" i="37"/>
  <c r="Z133" i="37"/>
  <c r="Y133" i="37"/>
  <c r="X133" i="37"/>
  <c r="W133" i="37"/>
  <c r="P133" i="37"/>
  <c r="AF133" i="37" s="1"/>
  <c r="AE132" i="37"/>
  <c r="AD132" i="37"/>
  <c r="AC132" i="37"/>
  <c r="AB132" i="37"/>
  <c r="AA132" i="37"/>
  <c r="Z132" i="37"/>
  <c r="Y132" i="37"/>
  <c r="X132" i="37"/>
  <c r="W132" i="37"/>
  <c r="P132" i="37"/>
  <c r="Q132" i="37" s="1"/>
  <c r="AE131" i="37"/>
  <c r="AD131" i="37"/>
  <c r="AC131" i="37"/>
  <c r="AB131" i="37"/>
  <c r="AA131" i="37"/>
  <c r="Z131" i="37"/>
  <c r="Y131" i="37"/>
  <c r="X131" i="37"/>
  <c r="W131" i="37"/>
  <c r="P131" i="37"/>
  <c r="Q131" i="37" s="1"/>
  <c r="S131" i="37" s="1"/>
  <c r="AB130" i="37"/>
  <c r="AA130" i="37"/>
  <c r="Z130" i="37"/>
  <c r="AE129" i="37"/>
  <c r="AD129" i="37"/>
  <c r="AC129" i="37"/>
  <c r="AB129" i="37"/>
  <c r="AA129" i="37"/>
  <c r="Z129" i="37"/>
  <c r="Y129" i="37"/>
  <c r="X129" i="37"/>
  <c r="W129" i="37"/>
  <c r="P129" i="37"/>
  <c r="AF129" i="37" s="1"/>
  <c r="AE128" i="37"/>
  <c r="AD128" i="37"/>
  <c r="AC128" i="37"/>
  <c r="AB128" i="37"/>
  <c r="AA128" i="37"/>
  <c r="Z128" i="37"/>
  <c r="Y128" i="37"/>
  <c r="X128" i="37"/>
  <c r="W128" i="37"/>
  <c r="P128" i="37"/>
  <c r="Q128" i="37" s="1"/>
  <c r="AE127" i="37"/>
  <c r="AD127" i="37"/>
  <c r="AC127" i="37"/>
  <c r="AB127" i="37"/>
  <c r="AA127" i="37"/>
  <c r="Z127" i="37"/>
  <c r="Y127" i="37"/>
  <c r="X127" i="37"/>
  <c r="W127" i="37"/>
  <c r="P127" i="37"/>
  <c r="AE126" i="37"/>
  <c r="AD126" i="37"/>
  <c r="AC126" i="37"/>
  <c r="AB126" i="37"/>
  <c r="AA126" i="37"/>
  <c r="Z126" i="37"/>
  <c r="Y126" i="37"/>
  <c r="X126" i="37"/>
  <c r="W126" i="37"/>
  <c r="P126" i="37"/>
  <c r="Q126" i="37" s="1"/>
  <c r="S126" i="37" s="1"/>
  <c r="AE125" i="37"/>
  <c r="AD125" i="37"/>
  <c r="AC125" i="37"/>
  <c r="AB125" i="37"/>
  <c r="AA125" i="37"/>
  <c r="Z125" i="37"/>
  <c r="Y125" i="37"/>
  <c r="X125" i="37"/>
  <c r="W125" i="37"/>
  <c r="P125" i="37"/>
  <c r="AF125" i="37" s="1"/>
  <c r="AE124" i="37"/>
  <c r="AD124" i="37"/>
  <c r="AC124" i="37"/>
  <c r="AB124" i="37"/>
  <c r="AA124" i="37"/>
  <c r="Z124" i="37"/>
  <c r="Y124" i="37"/>
  <c r="X124" i="37"/>
  <c r="W124" i="37"/>
  <c r="P124" i="37"/>
  <c r="AE123" i="37"/>
  <c r="AD123" i="37"/>
  <c r="AC123" i="37"/>
  <c r="AB123" i="37"/>
  <c r="AA123" i="37"/>
  <c r="Z123" i="37"/>
  <c r="Y123" i="37"/>
  <c r="X123" i="37"/>
  <c r="W123" i="37"/>
  <c r="Q123" i="37"/>
  <c r="AG123" i="37" s="1"/>
  <c r="P123" i="37"/>
  <c r="AF123" i="37" s="1"/>
  <c r="AE122" i="37"/>
  <c r="AD122" i="37"/>
  <c r="AC122" i="37"/>
  <c r="AB122" i="37"/>
  <c r="AA122" i="37"/>
  <c r="Z122" i="37"/>
  <c r="Y122" i="37"/>
  <c r="X122" i="37"/>
  <c r="W122" i="37"/>
  <c r="P122" i="37"/>
  <c r="AF122" i="37" s="1"/>
  <c r="AE121" i="37"/>
  <c r="AD121" i="37"/>
  <c r="AC121" i="37"/>
  <c r="AB121" i="37"/>
  <c r="AA121" i="37"/>
  <c r="Z121" i="37"/>
  <c r="Y121" i="37"/>
  <c r="X121" i="37"/>
  <c r="W121" i="37"/>
  <c r="P121" i="37"/>
  <c r="AF121" i="37" s="1"/>
  <c r="AE120" i="37"/>
  <c r="AD120" i="37"/>
  <c r="AC120" i="37"/>
  <c r="AB120" i="37"/>
  <c r="AA120" i="37"/>
  <c r="Z120" i="37"/>
  <c r="Y120" i="37"/>
  <c r="X120" i="37"/>
  <c r="W120" i="37"/>
  <c r="P120" i="37"/>
  <c r="Q120" i="37" s="1"/>
  <c r="S120" i="37" s="1"/>
  <c r="AE119" i="37"/>
  <c r="AD119" i="37"/>
  <c r="AC119" i="37"/>
  <c r="AB119" i="37"/>
  <c r="AA119" i="37"/>
  <c r="Z119" i="37"/>
  <c r="Y119" i="37"/>
  <c r="X119" i="37"/>
  <c r="W119" i="37"/>
  <c r="P119" i="37"/>
  <c r="AF119" i="37" s="1"/>
  <c r="AE118" i="37"/>
  <c r="AD118" i="37"/>
  <c r="AC118" i="37"/>
  <c r="AB118" i="37"/>
  <c r="AA118" i="37"/>
  <c r="Z118" i="37"/>
  <c r="Y118" i="37"/>
  <c r="X118" i="37"/>
  <c r="W118" i="37"/>
  <c r="P118" i="37"/>
  <c r="AF118" i="37" s="1"/>
  <c r="AF117" i="37"/>
  <c r="AE117" i="37"/>
  <c r="AD117" i="37"/>
  <c r="AC117" i="37"/>
  <c r="AB117" i="37"/>
  <c r="AA117" i="37"/>
  <c r="Z117" i="37"/>
  <c r="Y117" i="37"/>
  <c r="X117" i="37"/>
  <c r="W117" i="37"/>
  <c r="Q117" i="37"/>
  <c r="P117" i="37"/>
  <c r="AE116" i="37"/>
  <c r="AD116" i="37"/>
  <c r="AC116" i="37"/>
  <c r="AB116" i="37"/>
  <c r="AA116" i="37"/>
  <c r="Z116" i="37"/>
  <c r="Y116" i="37"/>
  <c r="X116" i="37"/>
  <c r="W116" i="37"/>
  <c r="P116" i="37"/>
  <c r="Q116" i="37" s="1"/>
  <c r="S116" i="37" s="1"/>
  <c r="AF115" i="37"/>
  <c r="AE115" i="37"/>
  <c r="AD115" i="37"/>
  <c r="AC115" i="37"/>
  <c r="AB115" i="37"/>
  <c r="AA115" i="37"/>
  <c r="Z115" i="37"/>
  <c r="Y115" i="37"/>
  <c r="X115" i="37"/>
  <c r="W115" i="37"/>
  <c r="Q115" i="37"/>
  <c r="S115" i="37" s="1"/>
  <c r="P115" i="37"/>
  <c r="AE114" i="37"/>
  <c r="AD114" i="37"/>
  <c r="AC114" i="37"/>
  <c r="AB114" i="37"/>
  <c r="AA114" i="37"/>
  <c r="Z114" i="37"/>
  <c r="Y114" i="37"/>
  <c r="X114" i="37"/>
  <c r="W114" i="37"/>
  <c r="P114" i="37"/>
  <c r="AF114" i="37" s="1"/>
  <c r="AF113" i="37"/>
  <c r="AE113" i="37"/>
  <c r="AD113" i="37"/>
  <c r="AC113" i="37"/>
  <c r="AB113" i="37"/>
  <c r="AA113" i="37"/>
  <c r="Z113" i="37"/>
  <c r="Y113" i="37"/>
  <c r="X113" i="37"/>
  <c r="W113" i="37"/>
  <c r="P113" i="37"/>
  <c r="Q113" i="37" s="1"/>
  <c r="AE112" i="37"/>
  <c r="AD112" i="37"/>
  <c r="AC112" i="37"/>
  <c r="AB112" i="37"/>
  <c r="AA112" i="37"/>
  <c r="Z112" i="37"/>
  <c r="Y112" i="37"/>
  <c r="X112" i="37"/>
  <c r="W112" i="37"/>
  <c r="P112" i="37"/>
  <c r="Q112" i="37" s="1"/>
  <c r="S112" i="37" s="1"/>
  <c r="AE111" i="37"/>
  <c r="AD111" i="37"/>
  <c r="AC111" i="37"/>
  <c r="AB111" i="37"/>
  <c r="AA111" i="37"/>
  <c r="Z111" i="37"/>
  <c r="Y111" i="37"/>
  <c r="X111" i="37"/>
  <c r="W111" i="37"/>
  <c r="P111" i="37"/>
  <c r="AF111" i="37" s="1"/>
  <c r="AE110" i="37"/>
  <c r="AD110" i="37"/>
  <c r="AC110" i="37"/>
  <c r="AB110" i="37"/>
  <c r="AA110" i="37"/>
  <c r="Z110" i="37"/>
  <c r="Y110" i="37"/>
  <c r="X110" i="37"/>
  <c r="W110" i="37"/>
  <c r="Q110" i="37"/>
  <c r="S110" i="37" s="1"/>
  <c r="P110" i="37"/>
  <c r="AF110" i="37" s="1"/>
  <c r="AE109" i="37"/>
  <c r="AD109" i="37"/>
  <c r="AC109" i="37"/>
  <c r="AB109" i="37"/>
  <c r="AA109" i="37"/>
  <c r="Z109" i="37"/>
  <c r="Y109" i="37"/>
  <c r="X109" i="37"/>
  <c r="W109" i="37"/>
  <c r="P109" i="37"/>
  <c r="AF109" i="37" s="1"/>
  <c r="AF108" i="37"/>
  <c r="AE108" i="37"/>
  <c r="AD108" i="37"/>
  <c r="AC108" i="37"/>
  <c r="AB108" i="37"/>
  <c r="AA108" i="37"/>
  <c r="Z108" i="37"/>
  <c r="Y108" i="37"/>
  <c r="X108" i="37"/>
  <c r="W108" i="37"/>
  <c r="V108" i="37"/>
  <c r="P108" i="37"/>
  <c r="Q108" i="37" s="1"/>
  <c r="S108" i="37" s="1"/>
  <c r="AE107" i="37"/>
  <c r="AD107" i="37"/>
  <c r="AC107" i="37"/>
  <c r="AB107" i="37"/>
  <c r="AA107" i="37"/>
  <c r="Z107" i="37"/>
  <c r="Y107" i="37"/>
  <c r="X107" i="37"/>
  <c r="W107" i="37"/>
  <c r="P107" i="37"/>
  <c r="Q107" i="37" s="1"/>
  <c r="S107" i="37" s="1"/>
  <c r="AE106" i="37"/>
  <c r="AD106" i="37"/>
  <c r="AC106" i="37"/>
  <c r="AB106" i="37"/>
  <c r="AA106" i="37"/>
  <c r="Z106" i="37"/>
  <c r="Y106" i="37"/>
  <c r="X106" i="37"/>
  <c r="W106" i="37"/>
  <c r="P106" i="37"/>
  <c r="Q106" i="37" s="1"/>
  <c r="S106" i="37" s="1"/>
  <c r="AF105" i="37"/>
  <c r="AE105" i="37"/>
  <c r="AD105" i="37"/>
  <c r="AC105" i="37"/>
  <c r="AB105" i="37"/>
  <c r="AA105" i="37"/>
  <c r="Z105" i="37"/>
  <c r="Y105" i="37"/>
  <c r="X105" i="37"/>
  <c r="W105" i="37"/>
  <c r="P105" i="37"/>
  <c r="Q105" i="37" s="1"/>
  <c r="S105" i="37" s="1"/>
  <c r="AE104" i="37"/>
  <c r="AD104" i="37"/>
  <c r="AC104" i="37"/>
  <c r="AB104" i="37"/>
  <c r="AA104" i="37"/>
  <c r="Z104" i="37"/>
  <c r="Y104" i="37"/>
  <c r="X104" i="37"/>
  <c r="W104" i="37"/>
  <c r="P104" i="37"/>
  <c r="AF104" i="37" s="1"/>
  <c r="AE103" i="37"/>
  <c r="AD103" i="37"/>
  <c r="AC103" i="37"/>
  <c r="AB103" i="37"/>
  <c r="AA103" i="37"/>
  <c r="Z103" i="37"/>
  <c r="Y103" i="37"/>
  <c r="X103" i="37"/>
  <c r="W103" i="37"/>
  <c r="P103" i="37"/>
  <c r="AF103" i="37" s="1"/>
  <c r="AF102" i="37"/>
  <c r="AE102" i="37"/>
  <c r="AD102" i="37"/>
  <c r="AC102" i="37"/>
  <c r="AB102" i="37"/>
  <c r="AA102" i="37"/>
  <c r="Z102" i="37"/>
  <c r="Y102" i="37"/>
  <c r="X102" i="37"/>
  <c r="W102" i="37"/>
  <c r="V102" i="37"/>
  <c r="P102" i="37"/>
  <c r="Q102" i="37" s="1"/>
  <c r="S102" i="37" s="1"/>
  <c r="AE101" i="37"/>
  <c r="AD101" i="37"/>
  <c r="AC101" i="37"/>
  <c r="AB101" i="37"/>
  <c r="AA101" i="37"/>
  <c r="Z101" i="37"/>
  <c r="Y101" i="37"/>
  <c r="X101" i="37"/>
  <c r="W101" i="37"/>
  <c r="P101" i="37"/>
  <c r="AF101" i="37" s="1"/>
  <c r="AE100" i="37"/>
  <c r="AD100" i="37"/>
  <c r="AC100" i="37"/>
  <c r="AB100" i="37"/>
  <c r="AA100" i="37"/>
  <c r="Z100" i="37"/>
  <c r="Y100" i="37"/>
  <c r="X100" i="37"/>
  <c r="W100" i="37"/>
  <c r="P100" i="37"/>
  <c r="Q100" i="37" s="1"/>
  <c r="S100" i="37" s="1"/>
  <c r="AE99" i="37"/>
  <c r="AD99" i="37"/>
  <c r="AC99" i="37"/>
  <c r="AB99" i="37"/>
  <c r="AA99" i="37"/>
  <c r="Z99" i="37"/>
  <c r="Y99" i="37"/>
  <c r="X99" i="37"/>
  <c r="W99" i="37"/>
  <c r="P99" i="37"/>
  <c r="Q99" i="37" s="1"/>
  <c r="S99" i="37" s="1"/>
  <c r="AE98" i="37"/>
  <c r="AD98" i="37"/>
  <c r="AC98" i="37"/>
  <c r="AB98" i="37"/>
  <c r="AA98" i="37"/>
  <c r="Z98" i="37"/>
  <c r="Y98" i="37"/>
  <c r="X98" i="37"/>
  <c r="W98" i="37"/>
  <c r="P98" i="37"/>
  <c r="Q98" i="37" s="1"/>
  <c r="S98" i="37" s="1"/>
  <c r="AE97" i="37"/>
  <c r="AD97" i="37"/>
  <c r="AC97" i="37"/>
  <c r="AB97" i="37"/>
  <c r="AA97" i="37"/>
  <c r="Z97" i="37"/>
  <c r="Y97" i="37"/>
  <c r="X97" i="37"/>
  <c r="W97" i="37"/>
  <c r="P97" i="37"/>
  <c r="Q97" i="37" s="1"/>
  <c r="S97" i="37" s="1"/>
  <c r="AE96" i="37"/>
  <c r="AD96" i="37"/>
  <c r="AC96" i="37"/>
  <c r="AB96" i="37"/>
  <c r="AA96" i="37"/>
  <c r="Z96" i="37"/>
  <c r="Y96" i="37"/>
  <c r="X96" i="37"/>
  <c r="W96" i="37"/>
  <c r="P96" i="37"/>
  <c r="AE95" i="37"/>
  <c r="AD95" i="37"/>
  <c r="AC95" i="37"/>
  <c r="AB95" i="37"/>
  <c r="AA95" i="37"/>
  <c r="Z95" i="37"/>
  <c r="Y95" i="37"/>
  <c r="X95" i="37"/>
  <c r="W95" i="37"/>
  <c r="Q95" i="37"/>
  <c r="AG95" i="37" s="1"/>
  <c r="P95" i="37"/>
  <c r="AF95" i="37" s="1"/>
  <c r="AE94" i="37"/>
  <c r="AD94" i="37"/>
  <c r="AC94" i="37"/>
  <c r="AB94" i="37"/>
  <c r="AA94" i="37"/>
  <c r="Z94" i="37"/>
  <c r="Y94" i="37"/>
  <c r="X94" i="37"/>
  <c r="W94" i="37"/>
  <c r="P94" i="37"/>
  <c r="AF94" i="37" s="1"/>
  <c r="AE93" i="37"/>
  <c r="AD93" i="37"/>
  <c r="AC93" i="37"/>
  <c r="AB93" i="37"/>
  <c r="AA93" i="37"/>
  <c r="Z93" i="37"/>
  <c r="Y93" i="37"/>
  <c r="X93" i="37"/>
  <c r="W93" i="37"/>
  <c r="P93" i="37"/>
  <c r="AF93" i="37" s="1"/>
  <c r="AE92" i="37"/>
  <c r="AD92" i="37"/>
  <c r="AC92" i="37"/>
  <c r="AB92" i="37"/>
  <c r="AA92" i="37"/>
  <c r="Z92" i="37"/>
  <c r="Y92" i="37"/>
  <c r="X92" i="37"/>
  <c r="W92" i="37"/>
  <c r="P92" i="37"/>
  <c r="AG91" i="37"/>
  <c r="AE91" i="37"/>
  <c r="AD91" i="37"/>
  <c r="AC91" i="37"/>
  <c r="AB91" i="37"/>
  <c r="AA91" i="37"/>
  <c r="Z91" i="37"/>
  <c r="Y91" i="37"/>
  <c r="X91" i="37"/>
  <c r="W91" i="37"/>
  <c r="P91" i="37"/>
  <c r="Q91" i="37" s="1"/>
  <c r="S91" i="37" s="1"/>
  <c r="AE90" i="37"/>
  <c r="AD90" i="37"/>
  <c r="AC90" i="37"/>
  <c r="AB90" i="37"/>
  <c r="AA90" i="37"/>
  <c r="Z90" i="37"/>
  <c r="Y90" i="37"/>
  <c r="X90" i="37"/>
  <c r="W90" i="37"/>
  <c r="P90" i="37"/>
  <c r="Q90" i="37" s="1"/>
  <c r="V90" i="37" s="1"/>
  <c r="AE89" i="37"/>
  <c r="AD89" i="37"/>
  <c r="AC89" i="37"/>
  <c r="AB89" i="37"/>
  <c r="AA89" i="37"/>
  <c r="Z89" i="37"/>
  <c r="Y89" i="37"/>
  <c r="X89" i="37"/>
  <c r="W89" i="37"/>
  <c r="P89" i="37"/>
  <c r="AF89" i="37" s="1"/>
  <c r="AE88" i="37"/>
  <c r="AD88" i="37"/>
  <c r="AC88" i="37"/>
  <c r="AB88" i="37"/>
  <c r="AA88" i="37"/>
  <c r="Z88" i="37"/>
  <c r="Y88" i="37"/>
  <c r="X88" i="37"/>
  <c r="W88" i="37"/>
  <c r="P88" i="37"/>
  <c r="AE87" i="37"/>
  <c r="AD87" i="37"/>
  <c r="AC87" i="37"/>
  <c r="AB87" i="37"/>
  <c r="AA87" i="37"/>
  <c r="Z87" i="37"/>
  <c r="Y87" i="37"/>
  <c r="X87" i="37"/>
  <c r="W87" i="37"/>
  <c r="Q87" i="37"/>
  <c r="AG87" i="37" s="1"/>
  <c r="P87" i="37"/>
  <c r="AF87" i="37" s="1"/>
  <c r="AE86" i="37"/>
  <c r="AD86" i="37"/>
  <c r="AC86" i="37"/>
  <c r="AB86" i="37"/>
  <c r="AA86" i="37"/>
  <c r="Z86" i="37"/>
  <c r="Y86" i="37"/>
  <c r="X86" i="37"/>
  <c r="W86" i="37"/>
  <c r="P86" i="37"/>
  <c r="AF86" i="37" s="1"/>
  <c r="AE85" i="37"/>
  <c r="AD85" i="37"/>
  <c r="AC85" i="37"/>
  <c r="AB85" i="37"/>
  <c r="AA85" i="37"/>
  <c r="Z85" i="37"/>
  <c r="Y85" i="37"/>
  <c r="X85" i="37"/>
  <c r="W85" i="37"/>
  <c r="P85" i="37"/>
  <c r="AF85" i="37" s="1"/>
  <c r="AE84" i="37"/>
  <c r="AD84" i="37"/>
  <c r="AC84" i="37"/>
  <c r="AB84" i="37"/>
  <c r="AA84" i="37"/>
  <c r="Z84" i="37"/>
  <c r="Y84" i="37"/>
  <c r="X84" i="37"/>
  <c r="W84" i="37"/>
  <c r="P84" i="37"/>
  <c r="AF83" i="37"/>
  <c r="AE83" i="37"/>
  <c r="AD83" i="37"/>
  <c r="AC83" i="37"/>
  <c r="AB83" i="37"/>
  <c r="AA83" i="37"/>
  <c r="Z83" i="37"/>
  <c r="Y83" i="37"/>
  <c r="X83" i="37"/>
  <c r="W83" i="37"/>
  <c r="P83" i="37"/>
  <c r="Q83" i="37" s="1"/>
  <c r="S83" i="37" s="1"/>
  <c r="AE82" i="37"/>
  <c r="AD82" i="37"/>
  <c r="AC82" i="37"/>
  <c r="AB82" i="37"/>
  <c r="AA82" i="37"/>
  <c r="Z82" i="37"/>
  <c r="Y82" i="37"/>
  <c r="X82" i="37"/>
  <c r="W82" i="37"/>
  <c r="P82" i="37"/>
  <c r="Q82" i="37" s="1"/>
  <c r="V82" i="37" s="1"/>
  <c r="AF81" i="37"/>
  <c r="AE81" i="37"/>
  <c r="AD81" i="37"/>
  <c r="AC81" i="37"/>
  <c r="AB81" i="37"/>
  <c r="AA81" i="37"/>
  <c r="Z81" i="37"/>
  <c r="Y81" i="37"/>
  <c r="X81" i="37"/>
  <c r="W81" i="37"/>
  <c r="P81" i="37"/>
  <c r="Q81" i="37" s="1"/>
  <c r="V81" i="37" s="1"/>
  <c r="AE80" i="37"/>
  <c r="AD80" i="37"/>
  <c r="AC80" i="37"/>
  <c r="AB80" i="37"/>
  <c r="AA80" i="37"/>
  <c r="Z80" i="37"/>
  <c r="Y80" i="37"/>
  <c r="X80" i="37"/>
  <c r="W80" i="37"/>
  <c r="P80" i="37"/>
  <c r="AE79" i="37"/>
  <c r="AD79" i="37"/>
  <c r="AC79" i="37"/>
  <c r="AB79" i="37"/>
  <c r="AA79" i="37"/>
  <c r="Z79" i="37"/>
  <c r="Y79" i="37"/>
  <c r="X79" i="37"/>
  <c r="W79" i="37"/>
  <c r="Q79" i="37"/>
  <c r="AG79" i="37" s="1"/>
  <c r="P79" i="37"/>
  <c r="AF79" i="37" s="1"/>
  <c r="AE78" i="37"/>
  <c r="AD78" i="37"/>
  <c r="AC78" i="37"/>
  <c r="AB78" i="37"/>
  <c r="AA78" i="37"/>
  <c r="Z78" i="37"/>
  <c r="Y78" i="37"/>
  <c r="X78" i="37"/>
  <c r="W78" i="37"/>
  <c r="P78" i="37"/>
  <c r="AF78" i="37" s="1"/>
  <c r="AE77" i="37"/>
  <c r="AD77" i="37"/>
  <c r="AC77" i="37"/>
  <c r="AB77" i="37"/>
  <c r="AA77" i="37"/>
  <c r="Z77" i="37"/>
  <c r="Y77" i="37"/>
  <c r="X77" i="37"/>
  <c r="W77" i="37"/>
  <c r="P77" i="37"/>
  <c r="AF77" i="37" s="1"/>
  <c r="AE76" i="37"/>
  <c r="AD76" i="37"/>
  <c r="AC76" i="37"/>
  <c r="AB76" i="37"/>
  <c r="AA76" i="37"/>
  <c r="Z76" i="37"/>
  <c r="Y76" i="37"/>
  <c r="X76" i="37"/>
  <c r="W76" i="37"/>
  <c r="P76" i="37"/>
  <c r="AG75" i="37"/>
  <c r="AE75" i="37"/>
  <c r="AD75" i="37"/>
  <c r="AC75" i="37"/>
  <c r="AB75" i="37"/>
  <c r="AA75" i="37"/>
  <c r="Z75" i="37"/>
  <c r="Y75" i="37"/>
  <c r="X75" i="37"/>
  <c r="W75" i="37"/>
  <c r="P75" i="37"/>
  <c r="Q75" i="37" s="1"/>
  <c r="S75" i="37" s="1"/>
  <c r="AF74" i="37"/>
  <c r="AE74" i="37"/>
  <c r="AD74" i="37"/>
  <c r="AC74" i="37"/>
  <c r="AB74" i="37"/>
  <c r="AA74" i="37"/>
  <c r="Z74" i="37"/>
  <c r="Y74" i="37"/>
  <c r="X74" i="37"/>
  <c r="W74" i="37"/>
  <c r="Q74" i="37"/>
  <c r="V74" i="37" s="1"/>
  <c r="P74" i="37"/>
  <c r="AE73" i="37"/>
  <c r="AD73" i="37"/>
  <c r="AC73" i="37"/>
  <c r="AB73" i="37"/>
  <c r="AA73" i="37"/>
  <c r="Z73" i="37"/>
  <c r="Y73" i="37"/>
  <c r="X73" i="37"/>
  <c r="W73" i="37"/>
  <c r="P73" i="37"/>
  <c r="AF73" i="37" s="1"/>
  <c r="AE72" i="37"/>
  <c r="AD72" i="37"/>
  <c r="AC72" i="37"/>
  <c r="AB72" i="37"/>
  <c r="AA72" i="37"/>
  <c r="Z72" i="37"/>
  <c r="Y72" i="37"/>
  <c r="X72" i="37"/>
  <c r="W72" i="37"/>
  <c r="P72" i="37"/>
  <c r="AE71" i="37"/>
  <c r="AD71" i="37"/>
  <c r="AC71" i="37"/>
  <c r="AB71" i="37"/>
  <c r="AA71" i="37"/>
  <c r="Z71" i="37"/>
  <c r="Y71" i="37"/>
  <c r="X71" i="37"/>
  <c r="W71" i="37"/>
  <c r="P71" i="37"/>
  <c r="AF71" i="37" s="1"/>
  <c r="AE70" i="37"/>
  <c r="AD70" i="37"/>
  <c r="AC70" i="37"/>
  <c r="AB70" i="37"/>
  <c r="AA70" i="37"/>
  <c r="Z70" i="37"/>
  <c r="Y70" i="37"/>
  <c r="X70" i="37"/>
  <c r="W70" i="37"/>
  <c r="P70" i="37"/>
  <c r="AF70" i="37" s="1"/>
  <c r="AE69" i="37"/>
  <c r="AD69" i="37"/>
  <c r="AC69" i="37"/>
  <c r="AB69" i="37"/>
  <c r="AA69" i="37"/>
  <c r="Z69" i="37"/>
  <c r="Y69" i="37"/>
  <c r="X69" i="37"/>
  <c r="W69" i="37"/>
  <c r="P69" i="37"/>
  <c r="AF69" i="37" s="1"/>
  <c r="AE68" i="37"/>
  <c r="AD68" i="37"/>
  <c r="AC68" i="37"/>
  <c r="AB68" i="37"/>
  <c r="AA68" i="37"/>
  <c r="Z68" i="37"/>
  <c r="Y68" i="37"/>
  <c r="X68" i="37"/>
  <c r="W68" i="37"/>
  <c r="P68" i="37"/>
  <c r="AE67" i="37"/>
  <c r="AD67" i="37"/>
  <c r="AC67" i="37"/>
  <c r="AB67" i="37"/>
  <c r="AA67" i="37"/>
  <c r="Z67" i="37"/>
  <c r="Y67" i="37"/>
  <c r="X67" i="37"/>
  <c r="W67" i="37"/>
  <c r="P67" i="37"/>
  <c r="Q67" i="37" s="1"/>
  <c r="S67" i="37" s="1"/>
  <c r="AF66" i="37"/>
  <c r="AE66" i="37"/>
  <c r="AD66" i="37"/>
  <c r="AC66" i="37"/>
  <c r="AB66" i="37"/>
  <c r="AA66" i="37"/>
  <c r="Z66" i="37"/>
  <c r="Y66" i="37"/>
  <c r="X66" i="37"/>
  <c r="W66" i="37"/>
  <c r="P66" i="37"/>
  <c r="Q66" i="37" s="1"/>
  <c r="V66" i="37" s="1"/>
  <c r="AE65" i="37"/>
  <c r="AD65" i="37"/>
  <c r="AC65" i="37"/>
  <c r="AB65" i="37"/>
  <c r="AA65" i="37"/>
  <c r="Z65" i="37"/>
  <c r="Y65" i="37"/>
  <c r="X65" i="37"/>
  <c r="W65" i="37"/>
  <c r="P65" i="37"/>
  <c r="AF65" i="37" s="1"/>
  <c r="AE64" i="37"/>
  <c r="AD64" i="37"/>
  <c r="AC64" i="37"/>
  <c r="AB64" i="37"/>
  <c r="AA64" i="37"/>
  <c r="Z64" i="37"/>
  <c r="Y64" i="37"/>
  <c r="X64" i="37"/>
  <c r="W64" i="37"/>
  <c r="P64" i="37"/>
  <c r="AE63" i="37"/>
  <c r="AD63" i="37"/>
  <c r="AC63" i="37"/>
  <c r="AB63" i="37"/>
  <c r="AA63" i="37"/>
  <c r="Z63" i="37"/>
  <c r="Y63" i="37"/>
  <c r="X63" i="37"/>
  <c r="W63" i="37"/>
  <c r="P63" i="37"/>
  <c r="AF63" i="37" s="1"/>
  <c r="AE62" i="37"/>
  <c r="AD62" i="37"/>
  <c r="AC62" i="37"/>
  <c r="AB62" i="37"/>
  <c r="AA62" i="37"/>
  <c r="Z62" i="37"/>
  <c r="Y62" i="37"/>
  <c r="X62" i="37"/>
  <c r="W62" i="37"/>
  <c r="P62" i="37"/>
  <c r="AF62" i="37" s="1"/>
  <c r="AE61" i="37"/>
  <c r="AD61" i="37"/>
  <c r="AC61" i="37"/>
  <c r="AB61" i="37"/>
  <c r="AA61" i="37"/>
  <c r="Z61" i="37"/>
  <c r="Y61" i="37"/>
  <c r="X61" i="37"/>
  <c r="W61" i="37"/>
  <c r="P61" i="37"/>
  <c r="AF61" i="37" s="1"/>
  <c r="AE60" i="37"/>
  <c r="AD60" i="37"/>
  <c r="AC60" i="37"/>
  <c r="AB60" i="37"/>
  <c r="AA60" i="37"/>
  <c r="Z60" i="37"/>
  <c r="Y60" i="37"/>
  <c r="X60" i="37"/>
  <c r="W60" i="37"/>
  <c r="P60" i="37"/>
  <c r="AE59" i="37"/>
  <c r="AD59" i="37"/>
  <c r="AC59" i="37"/>
  <c r="AB59" i="37"/>
  <c r="AA59" i="37"/>
  <c r="Z59" i="37"/>
  <c r="Y59" i="37"/>
  <c r="X59" i="37"/>
  <c r="W59" i="37"/>
  <c r="P59" i="37"/>
  <c r="Q59" i="37" s="1"/>
  <c r="S59" i="37" s="1"/>
  <c r="AG58" i="37"/>
  <c r="AE58" i="37"/>
  <c r="AD58" i="37"/>
  <c r="AC58" i="37"/>
  <c r="AB58" i="37"/>
  <c r="AA58" i="37"/>
  <c r="Z58" i="37"/>
  <c r="Y58" i="37"/>
  <c r="X58" i="37"/>
  <c r="W58" i="37"/>
  <c r="P58" i="37"/>
  <c r="Q58" i="37" s="1"/>
  <c r="V58" i="37" s="1"/>
  <c r="AE57" i="37"/>
  <c r="AD57" i="37"/>
  <c r="AC57" i="37"/>
  <c r="AB57" i="37"/>
  <c r="AA57" i="37"/>
  <c r="Z57" i="37"/>
  <c r="Y57" i="37"/>
  <c r="X57" i="37"/>
  <c r="W57" i="37"/>
  <c r="P57" i="37"/>
  <c r="AF57" i="37" s="1"/>
  <c r="AE56" i="37"/>
  <c r="AD56" i="37"/>
  <c r="AC56" i="37"/>
  <c r="AB56" i="37"/>
  <c r="AA56" i="37"/>
  <c r="Z56" i="37"/>
  <c r="Y56" i="37"/>
  <c r="X56" i="37"/>
  <c r="W56" i="37"/>
  <c r="P56" i="37"/>
  <c r="Q56" i="37" s="1"/>
  <c r="AG56" i="37" s="1"/>
  <c r="AE55" i="37"/>
  <c r="AD55" i="37"/>
  <c r="AC55" i="37"/>
  <c r="AB55" i="37"/>
  <c r="AA55" i="37"/>
  <c r="Z55" i="37"/>
  <c r="Y55" i="37"/>
  <c r="X55" i="37"/>
  <c r="W55" i="37"/>
  <c r="P55" i="37"/>
  <c r="AF55" i="37" s="1"/>
  <c r="AE54" i="37"/>
  <c r="AD54" i="37"/>
  <c r="AC54" i="37"/>
  <c r="AB54" i="37"/>
  <c r="AA54" i="37"/>
  <c r="Z54" i="37"/>
  <c r="Y54" i="37"/>
  <c r="X54" i="37"/>
  <c r="W54" i="37"/>
  <c r="P54" i="37"/>
  <c r="AF54" i="37" s="1"/>
  <c r="AE53" i="37"/>
  <c r="AD53" i="37"/>
  <c r="AC53" i="37"/>
  <c r="AB53" i="37"/>
  <c r="AA53" i="37"/>
  <c r="Z53" i="37"/>
  <c r="Y53" i="37"/>
  <c r="X53" i="37"/>
  <c r="W53" i="37"/>
  <c r="P53" i="37"/>
  <c r="AF53" i="37" s="1"/>
  <c r="AE52" i="37"/>
  <c r="AD52" i="37"/>
  <c r="AC52" i="37"/>
  <c r="AB52" i="37"/>
  <c r="AA52" i="37"/>
  <c r="Z52" i="37"/>
  <c r="Y52" i="37"/>
  <c r="X52" i="37"/>
  <c r="W52" i="37"/>
  <c r="P52" i="37"/>
  <c r="AF52" i="37" s="1"/>
  <c r="AE51" i="37"/>
  <c r="AD51" i="37"/>
  <c r="AC51" i="37"/>
  <c r="AB51" i="37"/>
  <c r="AA51" i="37"/>
  <c r="Z51" i="37"/>
  <c r="Y51" i="37"/>
  <c r="X51" i="37"/>
  <c r="W51" i="37"/>
  <c r="P51" i="37"/>
  <c r="Q51" i="37" s="1"/>
  <c r="S51" i="37" s="1"/>
  <c r="AE50" i="37"/>
  <c r="AD50" i="37"/>
  <c r="AC50" i="37"/>
  <c r="AB50" i="37"/>
  <c r="AA50" i="37"/>
  <c r="Z50" i="37"/>
  <c r="Y50" i="37"/>
  <c r="X50" i="37"/>
  <c r="W50" i="37"/>
  <c r="P50" i="37"/>
  <c r="Q50" i="37" s="1"/>
  <c r="V50" i="37" s="1"/>
  <c r="AE49" i="37"/>
  <c r="AD49" i="37"/>
  <c r="AC49" i="37"/>
  <c r="AB49" i="37"/>
  <c r="AA49" i="37"/>
  <c r="Z49" i="37"/>
  <c r="Y49" i="37"/>
  <c r="X49" i="37"/>
  <c r="W49" i="37"/>
  <c r="P49" i="37"/>
  <c r="AF49" i="37" s="1"/>
  <c r="AE48" i="37"/>
  <c r="AD48" i="37"/>
  <c r="AC48" i="37"/>
  <c r="AB48" i="37"/>
  <c r="AA48" i="37"/>
  <c r="Z48" i="37"/>
  <c r="Y48" i="37"/>
  <c r="X48" i="37"/>
  <c r="W48" i="37"/>
  <c r="P48" i="37"/>
  <c r="Q48" i="37" s="1"/>
  <c r="AG48" i="37" s="1"/>
  <c r="AE47" i="37"/>
  <c r="AD47" i="37"/>
  <c r="AC47" i="37"/>
  <c r="AB47" i="37"/>
  <c r="AA47" i="37"/>
  <c r="Z47" i="37"/>
  <c r="Y47" i="37"/>
  <c r="X47" i="37"/>
  <c r="W47" i="37"/>
  <c r="P47" i="37"/>
  <c r="AF47" i="37" s="1"/>
  <c r="AE46" i="37"/>
  <c r="AD46" i="37"/>
  <c r="AC46" i="37"/>
  <c r="AB46" i="37"/>
  <c r="AA46" i="37"/>
  <c r="Z46" i="37"/>
  <c r="Y46" i="37"/>
  <c r="X46" i="37"/>
  <c r="W46" i="37"/>
  <c r="P46" i="37"/>
  <c r="AF46" i="37" s="1"/>
  <c r="AE45" i="37"/>
  <c r="AD45" i="37"/>
  <c r="AC45" i="37"/>
  <c r="AB45" i="37"/>
  <c r="AA45" i="37"/>
  <c r="Z45" i="37"/>
  <c r="Y45" i="37"/>
  <c r="X45" i="37"/>
  <c r="W45" i="37"/>
  <c r="P45" i="37"/>
  <c r="AF45" i="37" s="1"/>
  <c r="AE44" i="37"/>
  <c r="AD44" i="37"/>
  <c r="AC44" i="37"/>
  <c r="AB44" i="37"/>
  <c r="AA44" i="37"/>
  <c r="Z44" i="37"/>
  <c r="Y44" i="37"/>
  <c r="X44" i="37"/>
  <c r="W44" i="37"/>
  <c r="P44" i="37"/>
  <c r="AF44" i="37" s="1"/>
  <c r="AE43" i="37"/>
  <c r="AD43" i="37"/>
  <c r="AC43" i="37"/>
  <c r="AB43" i="37"/>
  <c r="AA43" i="37"/>
  <c r="Z43" i="37"/>
  <c r="Y43" i="37"/>
  <c r="X43" i="37"/>
  <c r="W43" i="37"/>
  <c r="P43" i="37"/>
  <c r="Q43" i="37" s="1"/>
  <c r="S43" i="37" s="1"/>
  <c r="AE42" i="37"/>
  <c r="AD42" i="37"/>
  <c r="AC42" i="37"/>
  <c r="AB42" i="37"/>
  <c r="AA42" i="37"/>
  <c r="Z42" i="37"/>
  <c r="Y42" i="37"/>
  <c r="X42" i="37"/>
  <c r="W42" i="37"/>
  <c r="P42" i="37"/>
  <c r="Q42" i="37" s="1"/>
  <c r="V42" i="37" s="1"/>
  <c r="AF41" i="37"/>
  <c r="AE41" i="37"/>
  <c r="AD41" i="37"/>
  <c r="AC41" i="37"/>
  <c r="AB41" i="37"/>
  <c r="AA41" i="37"/>
  <c r="Z41" i="37"/>
  <c r="Y41" i="37"/>
  <c r="X41" i="37"/>
  <c r="W41" i="37"/>
  <c r="P41" i="37"/>
  <c r="Q41" i="37" s="1"/>
  <c r="AE40" i="37"/>
  <c r="AD40" i="37"/>
  <c r="AC40" i="37"/>
  <c r="AB40" i="37"/>
  <c r="AA40" i="37"/>
  <c r="Z40" i="37"/>
  <c r="Y40" i="37"/>
  <c r="X40" i="37"/>
  <c r="W40" i="37"/>
  <c r="P40" i="37"/>
  <c r="Q40" i="37" s="1"/>
  <c r="AG40" i="37" s="1"/>
  <c r="AE39" i="37"/>
  <c r="AD39" i="37"/>
  <c r="AC39" i="37"/>
  <c r="AB39" i="37"/>
  <c r="AA39" i="37"/>
  <c r="Z39" i="37"/>
  <c r="Y39" i="37"/>
  <c r="X39" i="37"/>
  <c r="W39" i="37"/>
  <c r="P39" i="37"/>
  <c r="AF39" i="37" s="1"/>
  <c r="AE38" i="37"/>
  <c r="AD38" i="37"/>
  <c r="AC38" i="37"/>
  <c r="AB38" i="37"/>
  <c r="AA38" i="37"/>
  <c r="Z38" i="37"/>
  <c r="Y38" i="37"/>
  <c r="X38" i="37"/>
  <c r="W38" i="37"/>
  <c r="P38" i="37"/>
  <c r="AF38" i="37" s="1"/>
  <c r="AE37" i="37"/>
  <c r="AD37" i="37"/>
  <c r="AC37" i="37"/>
  <c r="AB37" i="37"/>
  <c r="AA37" i="37"/>
  <c r="Z37" i="37"/>
  <c r="Y37" i="37"/>
  <c r="X37" i="37"/>
  <c r="W37" i="37"/>
  <c r="P37" i="37"/>
  <c r="AF37" i="37" s="1"/>
  <c r="AE36" i="37"/>
  <c r="AD36" i="37"/>
  <c r="AC36" i="37"/>
  <c r="AB36" i="37"/>
  <c r="AA36" i="37"/>
  <c r="Z36" i="37"/>
  <c r="Y36" i="37"/>
  <c r="X36" i="37"/>
  <c r="W36" i="37"/>
  <c r="P36" i="37"/>
  <c r="AF36" i="37" s="1"/>
  <c r="AE35" i="37"/>
  <c r="AD35" i="37"/>
  <c r="AC35" i="37"/>
  <c r="AB35" i="37"/>
  <c r="AA35" i="37"/>
  <c r="Z35" i="37"/>
  <c r="Y35" i="37"/>
  <c r="X35" i="37"/>
  <c r="W35" i="37"/>
  <c r="P35" i="37"/>
  <c r="Q35" i="37" s="1"/>
  <c r="S35" i="37" s="1"/>
  <c r="AE34" i="37"/>
  <c r="AD34" i="37"/>
  <c r="AC34" i="37"/>
  <c r="AB34" i="37"/>
  <c r="AA34" i="37"/>
  <c r="Z34" i="37"/>
  <c r="Y34" i="37"/>
  <c r="X34" i="37"/>
  <c r="W34" i="37"/>
  <c r="P34" i="37"/>
  <c r="AF34" i="37" s="1"/>
  <c r="AE33" i="37"/>
  <c r="AD33" i="37"/>
  <c r="AC33" i="37"/>
  <c r="AB33" i="37"/>
  <c r="AA33" i="37"/>
  <c r="Z33" i="37"/>
  <c r="Y33" i="37"/>
  <c r="X33" i="37"/>
  <c r="W33" i="37"/>
  <c r="P33" i="37"/>
  <c r="AF33" i="37" s="1"/>
  <c r="AE32" i="37"/>
  <c r="AD32" i="37"/>
  <c r="AC32" i="37"/>
  <c r="AB32" i="37"/>
  <c r="AA32" i="37"/>
  <c r="Z32" i="37"/>
  <c r="Y32" i="37"/>
  <c r="X32" i="37"/>
  <c r="W32" i="37"/>
  <c r="P32" i="37"/>
  <c r="Q32" i="37" s="1"/>
  <c r="AE31" i="37"/>
  <c r="AD31" i="37"/>
  <c r="AC31" i="37"/>
  <c r="AB31" i="37"/>
  <c r="AA31" i="37"/>
  <c r="Z31" i="37"/>
  <c r="Y31" i="37"/>
  <c r="X31" i="37"/>
  <c r="W31" i="37"/>
  <c r="P31" i="37"/>
  <c r="Q31" i="37" s="1"/>
  <c r="AE30" i="37"/>
  <c r="AD30" i="37"/>
  <c r="AC30" i="37"/>
  <c r="AB30" i="37"/>
  <c r="AA30" i="37"/>
  <c r="Z30" i="37"/>
  <c r="Y30" i="37"/>
  <c r="X30" i="37"/>
  <c r="W30" i="37"/>
  <c r="P30" i="37"/>
  <c r="Q30" i="37" s="1"/>
  <c r="AF29" i="37"/>
  <c r="AE29" i="37"/>
  <c r="AD29" i="37"/>
  <c r="AC29" i="37"/>
  <c r="AB29" i="37"/>
  <c r="AA29" i="37"/>
  <c r="Z29" i="37"/>
  <c r="Y29" i="37"/>
  <c r="X29" i="37"/>
  <c r="W29" i="37"/>
  <c r="P29" i="37"/>
  <c r="Q29" i="37" s="1"/>
  <c r="AE28" i="37"/>
  <c r="AD28" i="37"/>
  <c r="AC28" i="37"/>
  <c r="AB28" i="37"/>
  <c r="AA28" i="37"/>
  <c r="Z28" i="37"/>
  <c r="Y28" i="37"/>
  <c r="X28" i="37"/>
  <c r="W28" i="37"/>
  <c r="P28" i="37"/>
  <c r="AF28" i="37" s="1"/>
  <c r="AE27" i="37"/>
  <c r="AD27" i="37"/>
  <c r="AC27" i="37"/>
  <c r="AB27" i="37"/>
  <c r="AA27" i="37"/>
  <c r="Z27" i="37"/>
  <c r="Y27" i="37"/>
  <c r="X27" i="37"/>
  <c r="W27" i="37"/>
  <c r="P27" i="37"/>
  <c r="Q27" i="37" s="1"/>
  <c r="AE26" i="37"/>
  <c r="AD26" i="37"/>
  <c r="AC26" i="37"/>
  <c r="AB26" i="37"/>
  <c r="AA26" i="37"/>
  <c r="Z26" i="37"/>
  <c r="Y26" i="37"/>
  <c r="X26" i="37"/>
  <c r="W26" i="37"/>
  <c r="P26" i="37"/>
  <c r="Q26" i="37" s="1"/>
  <c r="AE25" i="37"/>
  <c r="AD25" i="37"/>
  <c r="AC25" i="37"/>
  <c r="AB25" i="37"/>
  <c r="AA25" i="37"/>
  <c r="Z25" i="37"/>
  <c r="Y25" i="37"/>
  <c r="X25" i="37"/>
  <c r="W25" i="37"/>
  <c r="P25" i="37"/>
  <c r="AF25" i="37" s="1"/>
  <c r="AE24" i="37"/>
  <c r="AD24" i="37"/>
  <c r="AC24" i="37"/>
  <c r="AB24" i="37"/>
  <c r="AA24" i="37"/>
  <c r="Z24" i="37"/>
  <c r="Y24" i="37"/>
  <c r="X24" i="37"/>
  <c r="W24" i="37"/>
  <c r="P24" i="37"/>
  <c r="Q24" i="37" s="1"/>
  <c r="AF23" i="37"/>
  <c r="AE23" i="37"/>
  <c r="AD23" i="37"/>
  <c r="AC23" i="37"/>
  <c r="AB23" i="37"/>
  <c r="AA23" i="37"/>
  <c r="Z23" i="37"/>
  <c r="Y23" i="37"/>
  <c r="X23" i="37"/>
  <c r="W23" i="37"/>
  <c r="P23" i="37"/>
  <c r="Q23" i="37" s="1"/>
  <c r="AE22" i="37"/>
  <c r="AD22" i="37"/>
  <c r="AC22" i="37"/>
  <c r="AB22" i="37"/>
  <c r="AA22" i="37"/>
  <c r="Z22" i="37"/>
  <c r="Y22" i="37"/>
  <c r="X22" i="37"/>
  <c r="W22" i="37"/>
  <c r="P22" i="37"/>
  <c r="Q22" i="37" s="1"/>
  <c r="AE21" i="37"/>
  <c r="AD21" i="37"/>
  <c r="AC21" i="37"/>
  <c r="AB21" i="37"/>
  <c r="AA21" i="37"/>
  <c r="Z21" i="37"/>
  <c r="Y21" i="37"/>
  <c r="X21" i="37"/>
  <c r="W21" i="37"/>
  <c r="P21" i="37"/>
  <c r="Q21" i="37" s="1"/>
  <c r="AE20" i="37"/>
  <c r="AD20" i="37"/>
  <c r="AC20" i="37"/>
  <c r="AB20" i="37"/>
  <c r="AA20" i="37"/>
  <c r="Z20" i="37"/>
  <c r="Y20" i="37"/>
  <c r="X20" i="37"/>
  <c r="W20" i="37"/>
  <c r="P20" i="37"/>
  <c r="AF20" i="37" s="1"/>
  <c r="AE19" i="37"/>
  <c r="AD19" i="37"/>
  <c r="AC19" i="37"/>
  <c r="AB19" i="37"/>
  <c r="AA19" i="37"/>
  <c r="Z19" i="37"/>
  <c r="Y19" i="37"/>
  <c r="X19" i="37"/>
  <c r="W19" i="37"/>
  <c r="P19" i="37"/>
  <c r="AF19" i="37" s="1"/>
  <c r="AE18" i="37"/>
  <c r="AD18" i="37"/>
  <c r="AC18" i="37"/>
  <c r="AB18" i="37"/>
  <c r="AA18" i="37"/>
  <c r="Z18" i="37"/>
  <c r="Y18" i="37"/>
  <c r="X18" i="37"/>
  <c r="W18" i="37"/>
  <c r="P18" i="37"/>
  <c r="AF18" i="37" s="1"/>
  <c r="AE17" i="37"/>
  <c r="AD17" i="37"/>
  <c r="AC17" i="37"/>
  <c r="AB17" i="37"/>
  <c r="AA17" i="37"/>
  <c r="Z17" i="37"/>
  <c r="Y17" i="37"/>
  <c r="X17" i="37"/>
  <c r="W17" i="37"/>
  <c r="P17" i="37"/>
  <c r="AF17" i="37" s="1"/>
  <c r="AE16" i="37"/>
  <c r="AD16" i="37"/>
  <c r="AC16" i="37"/>
  <c r="AB16" i="37"/>
  <c r="AA16" i="37"/>
  <c r="Z16" i="37"/>
  <c r="Y16" i="37"/>
  <c r="X16" i="37"/>
  <c r="W16" i="37"/>
  <c r="P16" i="37"/>
  <c r="Q16" i="37" s="1"/>
  <c r="AE15" i="37"/>
  <c r="AD15" i="37"/>
  <c r="AC15" i="37"/>
  <c r="AB15" i="37"/>
  <c r="AA15" i="37"/>
  <c r="Z15" i="37"/>
  <c r="Y15" i="37"/>
  <c r="X15" i="37"/>
  <c r="W15" i="37"/>
  <c r="P15" i="37"/>
  <c r="Q15" i="37" s="1"/>
  <c r="AF14" i="37"/>
  <c r="AE14" i="37"/>
  <c r="AD14" i="37"/>
  <c r="AC14" i="37"/>
  <c r="AB14" i="37"/>
  <c r="AA14" i="37"/>
  <c r="Z14" i="37"/>
  <c r="Y14" i="37"/>
  <c r="X14" i="37"/>
  <c r="W14" i="37"/>
  <c r="P14" i="37"/>
  <c r="Q14" i="37" s="1"/>
  <c r="AE13" i="37"/>
  <c r="AD13" i="37"/>
  <c r="AC13" i="37"/>
  <c r="AB13" i="37"/>
  <c r="AA13" i="37"/>
  <c r="Z13" i="37"/>
  <c r="Y13" i="37"/>
  <c r="X13" i="37"/>
  <c r="W13" i="37"/>
  <c r="P13" i="37"/>
  <c r="Q13" i="37" s="1"/>
  <c r="AE12" i="37"/>
  <c r="AD12" i="37"/>
  <c r="AC12" i="37"/>
  <c r="AB12" i="37"/>
  <c r="AA12" i="37"/>
  <c r="Z12" i="37"/>
  <c r="Y12" i="37"/>
  <c r="X12" i="37"/>
  <c r="W12" i="37"/>
  <c r="P12" i="37"/>
  <c r="Q12" i="37" s="1"/>
  <c r="AE11" i="37"/>
  <c r="AD11" i="37"/>
  <c r="AC11" i="37"/>
  <c r="AB11" i="37"/>
  <c r="AA11" i="37"/>
  <c r="Z11" i="37"/>
  <c r="Y11" i="37"/>
  <c r="X11" i="37"/>
  <c r="W11" i="37"/>
  <c r="P11" i="37"/>
  <c r="AF11" i="37" s="1"/>
  <c r="AE40" i="35"/>
  <c r="AD40" i="35"/>
  <c r="AC40" i="35"/>
  <c r="AB40" i="35"/>
  <c r="AA40" i="35"/>
  <c r="Z40" i="35"/>
  <c r="Y40" i="35"/>
  <c r="X40" i="35"/>
  <c r="W40" i="35"/>
  <c r="P40" i="35"/>
  <c r="AF40" i="35" s="1"/>
  <c r="P107" i="35"/>
  <c r="Q107" i="35" s="1"/>
  <c r="P106" i="35"/>
  <c r="AF106" i="35" s="1"/>
  <c r="P148" i="35"/>
  <c r="Q148" i="35" s="1"/>
  <c r="W148" i="35"/>
  <c r="X148" i="35"/>
  <c r="Y148" i="35"/>
  <c r="Z148" i="35"/>
  <c r="AA148" i="35"/>
  <c r="AB148" i="35"/>
  <c r="AC148" i="35"/>
  <c r="AD148" i="35"/>
  <c r="AE148" i="35"/>
  <c r="P63" i="35"/>
  <c r="Q63" i="35" s="1"/>
  <c r="S63" i="35" s="1"/>
  <c r="W63" i="35"/>
  <c r="X63" i="35"/>
  <c r="Y63" i="35"/>
  <c r="Z63" i="35"/>
  <c r="AA63" i="35"/>
  <c r="AB63" i="35"/>
  <c r="AC63" i="35"/>
  <c r="AD63" i="35"/>
  <c r="AE63" i="35"/>
  <c r="AE39" i="35"/>
  <c r="AD39" i="35"/>
  <c r="AC39" i="35"/>
  <c r="AB39" i="35"/>
  <c r="AA39" i="35"/>
  <c r="Z39" i="35"/>
  <c r="Y39" i="35"/>
  <c r="X39" i="35"/>
  <c r="W39" i="35"/>
  <c r="P39" i="35"/>
  <c r="AF39" i="35" s="1"/>
  <c r="AE38" i="35"/>
  <c r="AD38" i="35"/>
  <c r="AC38" i="35"/>
  <c r="AB38" i="35"/>
  <c r="AA38" i="35"/>
  <c r="Z38" i="35"/>
  <c r="Y38" i="35"/>
  <c r="X38" i="35"/>
  <c r="W38" i="35"/>
  <c r="P38" i="35"/>
  <c r="AF38" i="35" s="1"/>
  <c r="AE35" i="35"/>
  <c r="AD35" i="35"/>
  <c r="AC35" i="35"/>
  <c r="AB35" i="35"/>
  <c r="AA35" i="35"/>
  <c r="Z35" i="35"/>
  <c r="Y35" i="35"/>
  <c r="X35" i="35"/>
  <c r="W35" i="35"/>
  <c r="P35" i="35"/>
  <c r="Q35" i="35" s="1"/>
  <c r="AE34" i="35"/>
  <c r="AD34" i="35"/>
  <c r="AC34" i="35"/>
  <c r="AB34" i="35"/>
  <c r="AA34" i="35"/>
  <c r="Z34" i="35"/>
  <c r="Y34" i="35"/>
  <c r="X34" i="35"/>
  <c r="W34" i="35"/>
  <c r="P34" i="35"/>
  <c r="AF34" i="35" s="1"/>
  <c r="AE25" i="35"/>
  <c r="AD25" i="35"/>
  <c r="AC25" i="35"/>
  <c r="AB25" i="35"/>
  <c r="AA25" i="35"/>
  <c r="Z25" i="35"/>
  <c r="Y25" i="35"/>
  <c r="X25" i="35"/>
  <c r="W25" i="35"/>
  <c r="P25" i="35"/>
  <c r="Q25" i="35" s="1"/>
  <c r="AF107" i="35" l="1"/>
  <c r="Q106" i="35"/>
  <c r="R84" i="38"/>
  <c r="AH97" i="38"/>
  <c r="AH103" i="38"/>
  <c r="R10" i="38"/>
  <c r="S62" i="38"/>
  <c r="U62" i="38" s="1"/>
  <c r="AH17" i="38"/>
  <c r="AH25" i="38"/>
  <c r="AH41" i="38"/>
  <c r="S68" i="38"/>
  <c r="U68" i="38" s="1"/>
  <c r="U18" i="38"/>
  <c r="S51" i="38"/>
  <c r="AI51" i="38" s="1"/>
  <c r="AH83" i="38"/>
  <c r="AI35" i="38"/>
  <c r="X35" i="38"/>
  <c r="S30" i="38"/>
  <c r="U30" i="38" s="1"/>
  <c r="AH31" i="38"/>
  <c r="AH35" i="38"/>
  <c r="AH38" i="38"/>
  <c r="AH86" i="38"/>
  <c r="AH91" i="38"/>
  <c r="X94" i="38"/>
  <c r="AH23" i="38"/>
  <c r="AH72" i="38"/>
  <c r="AH88" i="38"/>
  <c r="AH45" i="38"/>
  <c r="AH53" i="38"/>
  <c r="AH58" i="38"/>
  <c r="AH69" i="38"/>
  <c r="AH94" i="38"/>
  <c r="AH14" i="38"/>
  <c r="AH18" i="38"/>
  <c r="AH32" i="38"/>
  <c r="AH82" i="38"/>
  <c r="AH101" i="38"/>
  <c r="AI18" i="38"/>
  <c r="AH77" i="38"/>
  <c r="AH99" i="38"/>
  <c r="S40" i="38"/>
  <c r="AI40" i="38" s="1"/>
  <c r="S15" i="38"/>
  <c r="AI15" i="38" s="1"/>
  <c r="AH37" i="38"/>
  <c r="AH43" i="38"/>
  <c r="AI57" i="38"/>
  <c r="U57" i="38"/>
  <c r="X57" i="38"/>
  <c r="AI16" i="38"/>
  <c r="U16" i="38"/>
  <c r="X16" i="38"/>
  <c r="X102" i="38"/>
  <c r="U102" i="38"/>
  <c r="X72" i="38"/>
  <c r="U72" i="38"/>
  <c r="U80" i="38"/>
  <c r="X80" i="38"/>
  <c r="S12" i="38"/>
  <c r="U12" i="38" s="1"/>
  <c r="S22" i="38"/>
  <c r="AH44" i="38"/>
  <c r="AH59" i="38"/>
  <c r="S76" i="38"/>
  <c r="AH81" i="38"/>
  <c r="AH16" i="38"/>
  <c r="S24" i="38"/>
  <c r="AH36" i="38"/>
  <c r="AH57" i="38"/>
  <c r="AH80" i="38"/>
  <c r="AH85" i="38"/>
  <c r="AH102" i="38"/>
  <c r="S29" i="38"/>
  <c r="AI29" i="38" s="1"/>
  <c r="S34" i="38"/>
  <c r="AI34" i="38" s="1"/>
  <c r="AH52" i="38"/>
  <c r="AH63" i="38"/>
  <c r="AH73" i="38"/>
  <c r="AH96" i="38"/>
  <c r="S106" i="38"/>
  <c r="U106" i="38" s="1"/>
  <c r="AA107" i="38"/>
  <c r="AC107" i="38"/>
  <c r="S11" i="38"/>
  <c r="U11" i="38" s="1"/>
  <c r="U35" i="38"/>
  <c r="AH60" i="38"/>
  <c r="AH87" i="38"/>
  <c r="AD107" i="38"/>
  <c r="AE107" i="38"/>
  <c r="S21" i="38"/>
  <c r="AI21" i="38" s="1"/>
  <c r="U13" i="38"/>
  <c r="AI13" i="38"/>
  <c r="X31" i="38"/>
  <c r="U31" i="38"/>
  <c r="X59" i="38"/>
  <c r="U59" i="38"/>
  <c r="X73" i="38"/>
  <c r="U73" i="38"/>
  <c r="AH92" i="38"/>
  <c r="S92" i="38"/>
  <c r="AB107" i="38"/>
  <c r="X13" i="38"/>
  <c r="S19" i="38"/>
  <c r="AH39" i="38"/>
  <c r="S39" i="38"/>
  <c r="X69" i="38"/>
  <c r="U69" i="38"/>
  <c r="X83" i="38"/>
  <c r="U83" i="38"/>
  <c r="X86" i="38"/>
  <c r="U86" i="38"/>
  <c r="U91" i="38"/>
  <c r="S95" i="38"/>
  <c r="X97" i="38"/>
  <c r="U97" i="38"/>
  <c r="U23" i="38"/>
  <c r="AI23" i="38"/>
  <c r="X41" i="38"/>
  <c r="U41" i="38"/>
  <c r="AH42" i="38"/>
  <c r="S42" i="38"/>
  <c r="S48" i="38"/>
  <c r="S65" i="38"/>
  <c r="AH78" i="38"/>
  <c r="S78" i="38"/>
  <c r="X81" i="38"/>
  <c r="U81" i="38"/>
  <c r="AH89" i="38"/>
  <c r="S89" i="38"/>
  <c r="AH104" i="38"/>
  <c r="S104" i="38"/>
  <c r="AH13" i="38"/>
  <c r="X17" i="38"/>
  <c r="U17" i="38"/>
  <c r="X23" i="38"/>
  <c r="X25" i="38"/>
  <c r="U25" i="38"/>
  <c r="S27" i="38"/>
  <c r="AI31" i="38"/>
  <c r="X44" i="38"/>
  <c r="U44" i="38"/>
  <c r="AH46" i="38"/>
  <c r="S46" i="38"/>
  <c r="S50" i="38"/>
  <c r="AI59" i="38"/>
  <c r="S61" i="38"/>
  <c r="AH74" i="38"/>
  <c r="S74" i="38"/>
  <c r="U87" i="38"/>
  <c r="S93" i="38"/>
  <c r="S20" i="38"/>
  <c r="X32" i="38"/>
  <c r="U32" i="38"/>
  <c r="AH49" i="38"/>
  <c r="S49" i="38"/>
  <c r="S56" i="38"/>
  <c r="U58" i="38"/>
  <c r="AI58" i="38"/>
  <c r="X60" i="38"/>
  <c r="U60" i="38"/>
  <c r="X63" i="38"/>
  <c r="U63" i="38"/>
  <c r="AH70" i="38"/>
  <c r="S70" i="38"/>
  <c r="AI83" i="38"/>
  <c r="U101" i="38"/>
  <c r="U36" i="38"/>
  <c r="AI36" i="38"/>
  <c r="X38" i="38"/>
  <c r="U38" i="38"/>
  <c r="AI41" i="38"/>
  <c r="X53" i="38"/>
  <c r="U53" i="38"/>
  <c r="AH54" i="38"/>
  <c r="S54" i="38"/>
  <c r="X58" i="38"/>
  <c r="S79" i="38"/>
  <c r="AI81" i="38"/>
  <c r="U82" i="38"/>
  <c r="AI82" i="38"/>
  <c r="U85" i="38"/>
  <c r="S90" i="38"/>
  <c r="U96" i="38"/>
  <c r="AH100" i="38"/>
  <c r="S100" i="38"/>
  <c r="S105" i="38"/>
  <c r="AF107" i="38"/>
  <c r="X14" i="38"/>
  <c r="U14" i="38"/>
  <c r="Y107" i="38"/>
  <c r="AG107" i="38"/>
  <c r="AI17" i="38"/>
  <c r="AI25" i="38"/>
  <c r="S28" i="38"/>
  <c r="X36" i="38"/>
  <c r="AI44" i="38"/>
  <c r="S75" i="38"/>
  <c r="X82" i="38"/>
  <c r="AH33" i="38"/>
  <c r="S33" i="38"/>
  <c r="X37" i="38"/>
  <c r="U37" i="38"/>
  <c r="U52" i="38"/>
  <c r="AI52" i="38"/>
  <c r="S55" i="38"/>
  <c r="Z107" i="38"/>
  <c r="AH26" i="38"/>
  <c r="S26" i="38"/>
  <c r="AI32" i="38"/>
  <c r="U43" i="38"/>
  <c r="AI43" i="38"/>
  <c r="X45" i="38"/>
  <c r="U45" i="38"/>
  <c r="S47" i="38"/>
  <c r="AI60" i="38"/>
  <c r="AH64" i="38"/>
  <c r="S64" i="38"/>
  <c r="S71" i="38"/>
  <c r="X77" i="38"/>
  <c r="U77" i="38"/>
  <c r="X88" i="38"/>
  <c r="U88" i="38"/>
  <c r="S98" i="38"/>
  <c r="U98" i="38" s="1"/>
  <c r="X103" i="38"/>
  <c r="U103" i="38"/>
  <c r="AG29" i="37"/>
  <c r="V29" i="37"/>
  <c r="S29" i="37"/>
  <c r="S41" i="37"/>
  <c r="V41" i="37"/>
  <c r="AG41" i="37"/>
  <c r="S142" i="37"/>
  <c r="V142" i="37"/>
  <c r="Y163" i="37"/>
  <c r="Q38" i="37"/>
  <c r="Q49" i="37"/>
  <c r="S49" i="37" s="1"/>
  <c r="Q57" i="37"/>
  <c r="S57" i="37" s="1"/>
  <c r="Q62" i="37"/>
  <c r="V62" i="37" s="1"/>
  <c r="Q69" i="37"/>
  <c r="V69" i="37" s="1"/>
  <c r="S90" i="37"/>
  <c r="S95" i="37"/>
  <c r="Q137" i="37"/>
  <c r="V137" i="37" s="1"/>
  <c r="AF15" i="37"/>
  <c r="AF21" i="37"/>
  <c r="AF31" i="37"/>
  <c r="Q47" i="37"/>
  <c r="Q55" i="37"/>
  <c r="V67" i="37"/>
  <c r="AF126" i="37"/>
  <c r="Q153" i="37"/>
  <c r="S153" i="37" s="1"/>
  <c r="V158" i="37"/>
  <c r="V160" i="37"/>
  <c r="Q28" i="37"/>
  <c r="S28" i="37" s="1"/>
  <c r="Q52" i="37"/>
  <c r="Q144" i="37"/>
  <c r="V144" i="37" s="1"/>
  <c r="Q146" i="37"/>
  <c r="S146" i="37" s="1"/>
  <c r="Q65" i="37"/>
  <c r="V65" i="37" s="1"/>
  <c r="V95" i="37"/>
  <c r="Q101" i="37"/>
  <c r="S101" i="37" s="1"/>
  <c r="Q118" i="37"/>
  <c r="V118" i="37" s="1"/>
  <c r="AF120" i="37"/>
  <c r="Q133" i="37"/>
  <c r="AF24" i="37"/>
  <c r="Q114" i="37"/>
  <c r="V114" i="37" s="1"/>
  <c r="V135" i="37"/>
  <c r="AF13" i="37"/>
  <c r="AF42" i="37"/>
  <c r="Q73" i="37"/>
  <c r="V73" i="37" s="1"/>
  <c r="AG74" i="37"/>
  <c r="AF116" i="37"/>
  <c r="Q138" i="37"/>
  <c r="S138" i="37" s="1"/>
  <c r="AF142" i="37"/>
  <c r="AF158" i="37"/>
  <c r="AF16" i="37"/>
  <c r="Q20" i="37"/>
  <c r="AG20" i="37" s="1"/>
  <c r="AF22" i="37"/>
  <c r="AF32" i="37"/>
  <c r="AG42" i="37"/>
  <c r="S58" i="37"/>
  <c r="AG67" i="37"/>
  <c r="AF82" i="37"/>
  <c r="Q89" i="37"/>
  <c r="Q119" i="37"/>
  <c r="S119" i="37" s="1"/>
  <c r="Q125" i="37"/>
  <c r="V125" i="37" s="1"/>
  <c r="AF135" i="37"/>
  <c r="Q145" i="37"/>
  <c r="V145" i="37" s="1"/>
  <c r="V147" i="37"/>
  <c r="AF151" i="37"/>
  <c r="Q44" i="37"/>
  <c r="AG44" i="37" s="1"/>
  <c r="S74" i="37"/>
  <c r="S79" i="37"/>
  <c r="Q111" i="37"/>
  <c r="S111" i="37" s="1"/>
  <c r="V79" i="37"/>
  <c r="AF59" i="37"/>
  <c r="AF90" i="37"/>
  <c r="Q149" i="37"/>
  <c r="Q156" i="37"/>
  <c r="V156" i="37" s="1"/>
  <c r="Q63" i="37"/>
  <c r="AF67" i="37"/>
  <c r="AG90" i="37"/>
  <c r="Q104" i="37"/>
  <c r="V104" i="37" s="1"/>
  <c r="AF140" i="37"/>
  <c r="AF50" i="37"/>
  <c r="AF112" i="37"/>
  <c r="AF131" i="37"/>
  <c r="W163" i="37"/>
  <c r="AF30" i="37"/>
  <c r="Q39" i="37"/>
  <c r="Q46" i="37"/>
  <c r="V46" i="37" s="1"/>
  <c r="AG50" i="37"/>
  <c r="AF58" i="37"/>
  <c r="Q71" i="37"/>
  <c r="AG71" i="37" s="1"/>
  <c r="AF75" i="37"/>
  <c r="AF91" i="37"/>
  <c r="V115" i="37"/>
  <c r="AF147" i="37"/>
  <c r="Q152" i="37"/>
  <c r="V152" i="37" s="1"/>
  <c r="V15" i="37"/>
  <c r="S15" i="37"/>
  <c r="AG15" i="37"/>
  <c r="S21" i="37"/>
  <c r="AG21" i="37"/>
  <c r="V21" i="37"/>
  <c r="V31" i="37"/>
  <c r="S31" i="37"/>
  <c r="AG31" i="37"/>
  <c r="V155" i="37"/>
  <c r="S155" i="37"/>
  <c r="V24" i="37"/>
  <c r="S24" i="37"/>
  <c r="AG24" i="37"/>
  <c r="S13" i="37"/>
  <c r="AG13" i="37"/>
  <c r="V13" i="37"/>
  <c r="V140" i="37"/>
  <c r="S140" i="37"/>
  <c r="V12" i="37"/>
  <c r="S12" i="37"/>
  <c r="AG27" i="37"/>
  <c r="S27" i="37"/>
  <c r="V27" i="37"/>
  <c r="V16" i="37"/>
  <c r="S16" i="37"/>
  <c r="AG16" i="37"/>
  <c r="S22" i="37"/>
  <c r="AG22" i="37"/>
  <c r="V22" i="37"/>
  <c r="V32" i="37"/>
  <c r="S32" i="37"/>
  <c r="AG32" i="37"/>
  <c r="S14" i="37"/>
  <c r="V14" i="37"/>
  <c r="AG14" i="37"/>
  <c r="S30" i="37"/>
  <c r="V30" i="37"/>
  <c r="AG30" i="37"/>
  <c r="V128" i="37"/>
  <c r="S128" i="37"/>
  <c r="AG128" i="37"/>
  <c r="V23" i="37"/>
  <c r="AG23" i="37"/>
  <c r="S23" i="37"/>
  <c r="AG26" i="37"/>
  <c r="V26" i="37"/>
  <c r="S26" i="37"/>
  <c r="V113" i="37"/>
  <c r="S113" i="37"/>
  <c r="V132" i="37"/>
  <c r="S132" i="37"/>
  <c r="Q85" i="37"/>
  <c r="S137" i="37"/>
  <c r="Q18" i="37"/>
  <c r="V20" i="37"/>
  <c r="V28" i="37"/>
  <c r="Q34" i="37"/>
  <c r="S40" i="37"/>
  <c r="Q11" i="37"/>
  <c r="AB163" i="37"/>
  <c r="Q17" i="37"/>
  <c r="Q25" i="37"/>
  <c r="Q33" i="37"/>
  <c r="AF35" i="37"/>
  <c r="V40" i="37"/>
  <c r="Q45" i="37"/>
  <c r="S48" i="37"/>
  <c r="V51" i="37"/>
  <c r="AG62" i="37"/>
  <c r="S66" i="37"/>
  <c r="V71" i="37"/>
  <c r="S87" i="37"/>
  <c r="AG89" i="37"/>
  <c r="S89" i="37"/>
  <c r="AF128" i="37"/>
  <c r="S141" i="37"/>
  <c r="V146" i="37"/>
  <c r="Q148" i="37"/>
  <c r="AF155" i="37"/>
  <c r="V157" i="37"/>
  <c r="Q159" i="37"/>
  <c r="Q60" i="37"/>
  <c r="AF60" i="37"/>
  <c r="V117" i="37"/>
  <c r="S117" i="37"/>
  <c r="Q19" i="37"/>
  <c r="V153" i="37"/>
  <c r="Q37" i="37"/>
  <c r="V43" i="37"/>
  <c r="V110" i="37"/>
  <c r="V119" i="37"/>
  <c r="Q121" i="37"/>
  <c r="V139" i="37"/>
  <c r="AC163" i="37"/>
  <c r="AG35" i="37"/>
  <c r="AF43" i="37"/>
  <c r="AG46" i="37"/>
  <c r="V48" i="37"/>
  <c r="AG49" i="37"/>
  <c r="Q53" i="37"/>
  <c r="S56" i="37"/>
  <c r="V59" i="37"/>
  <c r="Q61" i="37"/>
  <c r="Q68" i="37"/>
  <c r="AF68" i="37"/>
  <c r="Q70" i="37"/>
  <c r="S82" i="37"/>
  <c r="AG83" i="37"/>
  <c r="V87" i="37"/>
  <c r="V89" i="37"/>
  <c r="V101" i="37"/>
  <c r="Q103" i="37"/>
  <c r="Q109" i="37"/>
  <c r="V116" i="37"/>
  <c r="S123" i="37"/>
  <c r="AG126" i="37"/>
  <c r="AF132" i="37"/>
  <c r="V134" i="37"/>
  <c r="Q136" i="37"/>
  <c r="V143" i="37"/>
  <c r="S152" i="37"/>
  <c r="S52" i="37"/>
  <c r="V52" i="37"/>
  <c r="Z163" i="37"/>
  <c r="S20" i="37"/>
  <c r="Q54" i="37"/>
  <c r="AF64" i="37"/>
  <c r="Q64" i="37"/>
  <c r="Q76" i="37"/>
  <c r="AF76" i="37"/>
  <c r="V83" i="37"/>
  <c r="Q94" i="37"/>
  <c r="AA163" i="37"/>
  <c r="AF80" i="37"/>
  <c r="Q80" i="37"/>
  <c r="AD163" i="37"/>
  <c r="AF12" i="37"/>
  <c r="AF27" i="37"/>
  <c r="AG28" i="37"/>
  <c r="AF40" i="37"/>
  <c r="S42" i="37"/>
  <c r="AG43" i="37"/>
  <c r="AF51" i="37"/>
  <c r="V56" i="37"/>
  <c r="AG57" i="37"/>
  <c r="AF72" i="37"/>
  <c r="Q72" i="37"/>
  <c r="V75" i="37"/>
  <c r="Q77" i="37"/>
  <c r="Q84" i="37"/>
  <c r="AF84" i="37"/>
  <c r="Q86" i="37"/>
  <c r="V91" i="37"/>
  <c r="Q93" i="37"/>
  <c r="S118" i="37"/>
  <c r="V123" i="37"/>
  <c r="Q127" i="37"/>
  <c r="AF127" i="37"/>
  <c r="Q129" i="37"/>
  <c r="V154" i="37"/>
  <c r="V35" i="37"/>
  <c r="V49" i="37"/>
  <c r="S62" i="37"/>
  <c r="Q78" i="37"/>
  <c r="V126" i="37"/>
  <c r="AF96" i="37"/>
  <c r="Q96" i="37"/>
  <c r="V112" i="37"/>
  <c r="AE163" i="37"/>
  <c r="AF26" i="37"/>
  <c r="Q36" i="37"/>
  <c r="S39" i="37"/>
  <c r="AF48" i="37"/>
  <c r="S50" i="37"/>
  <c r="AG51" i="37"/>
  <c r="S63" i="37"/>
  <c r="AG66" i="37"/>
  <c r="AF88" i="37"/>
  <c r="Q88" i="37"/>
  <c r="V105" i="37"/>
  <c r="V111" i="37"/>
  <c r="V120" i="37"/>
  <c r="Q122" i="37"/>
  <c r="V131" i="37"/>
  <c r="V138" i="37"/>
  <c r="Q92" i="37"/>
  <c r="AF92" i="37"/>
  <c r="AG52" i="37"/>
  <c r="V57" i="37"/>
  <c r="AG73" i="37"/>
  <c r="S73" i="37"/>
  <c r="X163" i="37"/>
  <c r="AF56" i="37"/>
  <c r="AG59" i="37"/>
  <c r="AG81" i="37"/>
  <c r="S81" i="37"/>
  <c r="AG82" i="37"/>
  <c r="AF124" i="37"/>
  <c r="Q124" i="37"/>
  <c r="AG125" i="37"/>
  <c r="Q161" i="37"/>
  <c r="AF162" i="37"/>
  <c r="Q40" i="35"/>
  <c r="AF148" i="35"/>
  <c r="S148" i="35"/>
  <c r="V148" i="35"/>
  <c r="AF63" i="35"/>
  <c r="V63" i="35"/>
  <c r="Q39" i="35"/>
  <c r="Q38" i="35"/>
  <c r="V35" i="35"/>
  <c r="S35" i="35"/>
  <c r="AF35" i="35"/>
  <c r="Q34" i="35"/>
  <c r="V25" i="35"/>
  <c r="S25" i="35"/>
  <c r="AF25" i="35"/>
  <c r="R107" i="38" l="1"/>
  <c r="X68" i="38"/>
  <c r="X11" i="38"/>
  <c r="U34" i="38"/>
  <c r="X62" i="38"/>
  <c r="X34" i="38"/>
  <c r="X51" i="38"/>
  <c r="U15" i="38"/>
  <c r="U51" i="38"/>
  <c r="X15" i="38"/>
  <c r="AI30" i="38"/>
  <c r="X30" i="38"/>
  <c r="U40" i="38"/>
  <c r="AI11" i="38"/>
  <c r="X21" i="38"/>
  <c r="X40" i="38"/>
  <c r="AI84" i="38"/>
  <c r="AI22" i="38"/>
  <c r="X22" i="38"/>
  <c r="U22" i="38"/>
  <c r="U21" i="38"/>
  <c r="AI10" i="38"/>
  <c r="U29" i="38"/>
  <c r="X76" i="38"/>
  <c r="U76" i="38"/>
  <c r="X12" i="38"/>
  <c r="AI12" i="38"/>
  <c r="X29" i="38"/>
  <c r="X24" i="38"/>
  <c r="AI24" i="38"/>
  <c r="U24" i="38"/>
  <c r="X42" i="38"/>
  <c r="U42" i="38"/>
  <c r="AI42" i="38"/>
  <c r="X26" i="38"/>
  <c r="U26" i="38"/>
  <c r="AI26" i="38"/>
  <c r="X90" i="38"/>
  <c r="U90" i="38"/>
  <c r="X49" i="38"/>
  <c r="U49" i="38"/>
  <c r="AI49" i="38"/>
  <c r="X75" i="38"/>
  <c r="U75" i="38"/>
  <c r="X61" i="38"/>
  <c r="U61" i="38"/>
  <c r="X54" i="38"/>
  <c r="U54" i="38"/>
  <c r="AI54" i="38"/>
  <c r="AI27" i="38"/>
  <c r="X27" i="38"/>
  <c r="U27" i="38"/>
  <c r="X104" i="38"/>
  <c r="U104" i="38"/>
  <c r="X78" i="38"/>
  <c r="U78" i="38"/>
  <c r="X95" i="38"/>
  <c r="U95" i="38"/>
  <c r="AI48" i="38"/>
  <c r="X48" i="38"/>
  <c r="U48" i="38"/>
  <c r="X39" i="38"/>
  <c r="U39" i="38"/>
  <c r="AI39" i="38"/>
  <c r="AI47" i="38"/>
  <c r="X47" i="38"/>
  <c r="U47" i="38"/>
  <c r="X71" i="38"/>
  <c r="U71" i="38"/>
  <c r="X64" i="38"/>
  <c r="U64" i="38"/>
  <c r="X100" i="38"/>
  <c r="U100" i="38"/>
  <c r="AI20" i="38"/>
  <c r="X20" i="38"/>
  <c r="U20" i="38"/>
  <c r="AI50" i="38"/>
  <c r="X50" i="38"/>
  <c r="U50" i="38"/>
  <c r="AI56" i="38"/>
  <c r="X56" i="38"/>
  <c r="U56" i="38"/>
  <c r="X105" i="38"/>
  <c r="U105" i="38"/>
  <c r="AI28" i="38"/>
  <c r="X28" i="38"/>
  <c r="U28" i="38"/>
  <c r="AH108" i="38"/>
  <c r="X46" i="38"/>
  <c r="U46" i="38"/>
  <c r="AI46" i="38"/>
  <c r="X89" i="38"/>
  <c r="U89" i="38"/>
  <c r="X65" i="38"/>
  <c r="U65" i="38"/>
  <c r="X92" i="38"/>
  <c r="U92" i="38"/>
  <c r="AH107" i="38"/>
  <c r="X74" i="38"/>
  <c r="U74" i="38"/>
  <c r="AI55" i="38"/>
  <c r="X55" i="38"/>
  <c r="U55" i="38"/>
  <c r="X79" i="38"/>
  <c r="U79" i="38"/>
  <c r="AI19" i="38"/>
  <c r="X19" i="38"/>
  <c r="U19" i="38"/>
  <c r="X33" i="38"/>
  <c r="U33" i="38"/>
  <c r="AI33" i="38"/>
  <c r="X70" i="38"/>
  <c r="U70" i="38"/>
  <c r="X93" i="38"/>
  <c r="U93" i="38"/>
  <c r="AG65" i="37"/>
  <c r="AG55" i="37"/>
  <c r="V55" i="37"/>
  <c r="S55" i="37"/>
  <c r="AG47" i="37"/>
  <c r="S47" i="37"/>
  <c r="V47" i="37"/>
  <c r="V44" i="37"/>
  <c r="S145" i="37"/>
  <c r="S114" i="37"/>
  <c r="S44" i="37"/>
  <c r="S144" i="37"/>
  <c r="S71" i="37"/>
  <c r="AG69" i="37"/>
  <c r="AG39" i="37"/>
  <c r="V39" i="37"/>
  <c r="AG130" i="37"/>
  <c r="S69" i="37"/>
  <c r="S38" i="37"/>
  <c r="AG38" i="37"/>
  <c r="V38" i="37"/>
  <c r="S65" i="37"/>
  <c r="V149" i="37"/>
  <c r="S149" i="37"/>
  <c r="AF163" i="37"/>
  <c r="V133" i="37"/>
  <c r="S133" i="37"/>
  <c r="AF164" i="37"/>
  <c r="S156" i="37"/>
  <c r="S46" i="37"/>
  <c r="S104" i="37"/>
  <c r="AG63" i="37"/>
  <c r="V63" i="37"/>
  <c r="S36" i="37"/>
  <c r="V36" i="37"/>
  <c r="AG36" i="37"/>
  <c r="V148" i="37"/>
  <c r="S148" i="37"/>
  <c r="AG72" i="37"/>
  <c r="V72" i="37"/>
  <c r="S72" i="37"/>
  <c r="V53" i="37"/>
  <c r="AG53" i="37"/>
  <c r="S53" i="37"/>
  <c r="V93" i="37"/>
  <c r="S93" i="37"/>
  <c r="AG93" i="37"/>
  <c r="AG17" i="37"/>
  <c r="V17" i="37"/>
  <c r="S17" i="37"/>
  <c r="V161" i="37"/>
  <c r="S161" i="37"/>
  <c r="S76" i="37"/>
  <c r="V76" i="37"/>
  <c r="AG76" i="37"/>
  <c r="V70" i="37"/>
  <c r="AG70" i="37"/>
  <c r="S70" i="37"/>
  <c r="AG10" i="37"/>
  <c r="V94" i="37"/>
  <c r="S94" i="37"/>
  <c r="AG94" i="37"/>
  <c r="AG19" i="37"/>
  <c r="S19" i="37"/>
  <c r="V19" i="37"/>
  <c r="V121" i="37"/>
  <c r="S121" i="37"/>
  <c r="AG121" i="37"/>
  <c r="V25" i="37"/>
  <c r="AG25" i="37"/>
  <c r="S25" i="37"/>
  <c r="V122" i="37"/>
  <c r="S122" i="37"/>
  <c r="AG122" i="37"/>
  <c r="AG18" i="37"/>
  <c r="V18" i="37"/>
  <c r="S18" i="37"/>
  <c r="S92" i="37"/>
  <c r="V92" i="37"/>
  <c r="AG92" i="37"/>
  <c r="AG96" i="37"/>
  <c r="V96" i="37"/>
  <c r="S96" i="37"/>
  <c r="V86" i="37"/>
  <c r="S86" i="37"/>
  <c r="AG86" i="37"/>
  <c r="AG64" i="37"/>
  <c r="V64" i="37"/>
  <c r="S64" i="37"/>
  <c r="V109" i="37"/>
  <c r="S109" i="37"/>
  <c r="S60" i="37"/>
  <c r="V60" i="37"/>
  <c r="AG60" i="37"/>
  <c r="V11" i="37"/>
  <c r="S11" i="37"/>
  <c r="V85" i="37"/>
  <c r="S85" i="37"/>
  <c r="AG85" i="37"/>
  <c r="V33" i="37"/>
  <c r="AG33" i="37"/>
  <c r="S33" i="37"/>
  <c r="AG124" i="37"/>
  <c r="V124" i="37"/>
  <c r="S124" i="37"/>
  <c r="V129" i="37"/>
  <c r="S129" i="37"/>
  <c r="AG129" i="37"/>
  <c r="AG80" i="37"/>
  <c r="V80" i="37"/>
  <c r="S80" i="37"/>
  <c r="V103" i="37"/>
  <c r="S103" i="37"/>
  <c r="S68" i="37"/>
  <c r="V68" i="37"/>
  <c r="AG68" i="37"/>
  <c r="V37" i="37"/>
  <c r="AG37" i="37"/>
  <c r="S37" i="37"/>
  <c r="V159" i="37"/>
  <c r="S159" i="37"/>
  <c r="V45" i="37"/>
  <c r="AG45" i="37"/>
  <c r="S45" i="37"/>
  <c r="AG88" i="37"/>
  <c r="S88" i="37"/>
  <c r="V88" i="37"/>
  <c r="S84" i="37"/>
  <c r="V84" i="37"/>
  <c r="AG84" i="37"/>
  <c r="AG54" i="37"/>
  <c r="V54" i="37"/>
  <c r="S54" i="37"/>
  <c r="V136" i="37"/>
  <c r="S136" i="37"/>
  <c r="V61" i="37"/>
  <c r="S61" i="37"/>
  <c r="AG61" i="37"/>
  <c r="V78" i="37"/>
  <c r="AG78" i="37"/>
  <c r="S78" i="37"/>
  <c r="S127" i="37"/>
  <c r="V127" i="37"/>
  <c r="AG127" i="37"/>
  <c r="V77" i="37"/>
  <c r="S77" i="37"/>
  <c r="AG77" i="37"/>
  <c r="AG34" i="37"/>
  <c r="V34" i="37"/>
  <c r="S34" i="37"/>
  <c r="V40" i="35"/>
  <c r="S40" i="35"/>
  <c r="V38" i="35"/>
  <c r="S38" i="35"/>
  <c r="V39" i="35"/>
  <c r="S39" i="35"/>
  <c r="V34" i="35"/>
  <c r="S34" i="35"/>
  <c r="AI107" i="38" l="1"/>
  <c r="U107" i="38"/>
  <c r="S163" i="37"/>
  <c r="AG163" i="37"/>
  <c r="AB151" i="35"/>
  <c r="AA151" i="35"/>
  <c r="Z151" i="35"/>
  <c r="AB162" i="35"/>
  <c r="AA162" i="35"/>
  <c r="Z162" i="35"/>
  <c r="AB160" i="35"/>
  <c r="AA160" i="35"/>
  <c r="Z160" i="35"/>
  <c r="AB156" i="35"/>
  <c r="AA156" i="35"/>
  <c r="Z156" i="35"/>
  <c r="AB147" i="35"/>
  <c r="AA147" i="35"/>
  <c r="Z147" i="35"/>
  <c r="AB153" i="35"/>
  <c r="AA153" i="35"/>
  <c r="Z153" i="35"/>
  <c r="AB152" i="35"/>
  <c r="AA152" i="35"/>
  <c r="Z152" i="35"/>
  <c r="AB154" i="35"/>
  <c r="AA154" i="35"/>
  <c r="Z154" i="35"/>
  <c r="AB143" i="35"/>
  <c r="AA143" i="35"/>
  <c r="Z143" i="35"/>
  <c r="AB142" i="35"/>
  <c r="AA142" i="35"/>
  <c r="Z142" i="35"/>
  <c r="AB149" i="35"/>
  <c r="AA149" i="35"/>
  <c r="Z149" i="35"/>
  <c r="AB145" i="35"/>
  <c r="AA145" i="35"/>
  <c r="Z145" i="35"/>
  <c r="AB144" i="35"/>
  <c r="AA144" i="35"/>
  <c r="Z144" i="35"/>
  <c r="AB159" i="35"/>
  <c r="AA159" i="35"/>
  <c r="Z159" i="35"/>
  <c r="AB158" i="35"/>
  <c r="AA158" i="35"/>
  <c r="Z158" i="35"/>
  <c r="AB157" i="35"/>
  <c r="AA157" i="35"/>
  <c r="Z157" i="35"/>
  <c r="AB155" i="35"/>
  <c r="AA155" i="35"/>
  <c r="Z155" i="35"/>
  <c r="AB150" i="35"/>
  <c r="AA150" i="35"/>
  <c r="Z150" i="35"/>
  <c r="AB161" i="35"/>
  <c r="AA161" i="35"/>
  <c r="Z161" i="35"/>
  <c r="AB146" i="35"/>
  <c r="AA146" i="35"/>
  <c r="Z146" i="35"/>
  <c r="AB141" i="35"/>
  <c r="Z141" i="35"/>
  <c r="AB140" i="35"/>
  <c r="AA140" i="35"/>
  <c r="Z140" i="35"/>
  <c r="AB139" i="35"/>
  <c r="AA139" i="35"/>
  <c r="Z139" i="35"/>
  <c r="AB138" i="35"/>
  <c r="AA138" i="35"/>
  <c r="Z138" i="35"/>
  <c r="AB137" i="35"/>
  <c r="AA137" i="35"/>
  <c r="Z137" i="35"/>
  <c r="AB136" i="35"/>
  <c r="AA136" i="35"/>
  <c r="Z136" i="35"/>
  <c r="AB135" i="35"/>
  <c r="AA135" i="35"/>
  <c r="Z135" i="35"/>
  <c r="AB134" i="35"/>
  <c r="AA134" i="35"/>
  <c r="Z134" i="35"/>
  <c r="AB133" i="35"/>
  <c r="AA133" i="35"/>
  <c r="Z133" i="35"/>
  <c r="AB132" i="35"/>
  <c r="AA132" i="35"/>
  <c r="Z132" i="35"/>
  <c r="AB131" i="35"/>
  <c r="AA131" i="35"/>
  <c r="Z131" i="35"/>
  <c r="AB130" i="35"/>
  <c r="AA130" i="35"/>
  <c r="Z130" i="35"/>
  <c r="AB100" i="35"/>
  <c r="AA100" i="35"/>
  <c r="Z100" i="35"/>
  <c r="AB99" i="35"/>
  <c r="AA99" i="35"/>
  <c r="Z99" i="35"/>
  <c r="AB98" i="35"/>
  <c r="AA98" i="35"/>
  <c r="Z98" i="35"/>
  <c r="AB97" i="35"/>
  <c r="AA97" i="35"/>
  <c r="Z97" i="35"/>
  <c r="AB116" i="35"/>
  <c r="AA116" i="35"/>
  <c r="Z116" i="35"/>
  <c r="AB115" i="35"/>
  <c r="AA115" i="35"/>
  <c r="Z115" i="35"/>
  <c r="AB114" i="35"/>
  <c r="AA114" i="35"/>
  <c r="Z114" i="35"/>
  <c r="AB113" i="35"/>
  <c r="AA113" i="35"/>
  <c r="Z113" i="35"/>
  <c r="AB108" i="35"/>
  <c r="AA108" i="35"/>
  <c r="Z108" i="35"/>
  <c r="AB107" i="35"/>
  <c r="AA107" i="35"/>
  <c r="Z107" i="35"/>
  <c r="AB106" i="35"/>
  <c r="AA106" i="35"/>
  <c r="Z106" i="35"/>
  <c r="AB105" i="35"/>
  <c r="AA105" i="35"/>
  <c r="Z105" i="35"/>
  <c r="AB120" i="35"/>
  <c r="AA120" i="35"/>
  <c r="Z120" i="35"/>
  <c r="AB119" i="35"/>
  <c r="AA119" i="35"/>
  <c r="Z119" i="35"/>
  <c r="AB118" i="35"/>
  <c r="AA118" i="35"/>
  <c r="Z118" i="35"/>
  <c r="AB117" i="35"/>
  <c r="AA117" i="35"/>
  <c r="Z117" i="35"/>
  <c r="AB112" i="35"/>
  <c r="AA112" i="35"/>
  <c r="Z112" i="35"/>
  <c r="AB111" i="35"/>
  <c r="AA111" i="35"/>
  <c r="Z111" i="35"/>
  <c r="AB110" i="35"/>
  <c r="AA110" i="35"/>
  <c r="Z110" i="35"/>
  <c r="AB109" i="35"/>
  <c r="AA109" i="35"/>
  <c r="Z109" i="35"/>
  <c r="AB104" i="35"/>
  <c r="AA104" i="35"/>
  <c r="Z104" i="35"/>
  <c r="AB103" i="35"/>
  <c r="AA103" i="35"/>
  <c r="Z103" i="35"/>
  <c r="AB102" i="35"/>
  <c r="AA102" i="35"/>
  <c r="Z102" i="35"/>
  <c r="AB101" i="35"/>
  <c r="AA101" i="35"/>
  <c r="Z101" i="35"/>
  <c r="AB49" i="35"/>
  <c r="AA49" i="35"/>
  <c r="Z49" i="35"/>
  <c r="AB48" i="35"/>
  <c r="AA48" i="35"/>
  <c r="Z48" i="35"/>
  <c r="AB94" i="35"/>
  <c r="AA94" i="35"/>
  <c r="Z94" i="35"/>
  <c r="AB128" i="35"/>
  <c r="AA128" i="35"/>
  <c r="Z128" i="35"/>
  <c r="AB76" i="35"/>
  <c r="AA76" i="35"/>
  <c r="Z76" i="35"/>
  <c r="AB75" i="35"/>
  <c r="AA75" i="35"/>
  <c r="Z75" i="35"/>
  <c r="AB74" i="35"/>
  <c r="AA74" i="35"/>
  <c r="Z74" i="35"/>
  <c r="AB73" i="35"/>
  <c r="AA73" i="35"/>
  <c r="Z73" i="35"/>
  <c r="AB72" i="35"/>
  <c r="AA72" i="35"/>
  <c r="Z72" i="35"/>
  <c r="AB71" i="35"/>
  <c r="AA71" i="35"/>
  <c r="Z71" i="35"/>
  <c r="AB70" i="35"/>
  <c r="AA70" i="35"/>
  <c r="Z70" i="35"/>
  <c r="AB69" i="35"/>
  <c r="AA69" i="35"/>
  <c r="Z69" i="35"/>
  <c r="AB68" i="35"/>
  <c r="AA68" i="35"/>
  <c r="Z68" i="35"/>
  <c r="AB67" i="35"/>
  <c r="AA67" i="35"/>
  <c r="Z67" i="35"/>
  <c r="AB66" i="35"/>
  <c r="AA66" i="35"/>
  <c r="Z66" i="35"/>
  <c r="AB65" i="35"/>
  <c r="AA65" i="35"/>
  <c r="Z65" i="35"/>
  <c r="AB64" i="35"/>
  <c r="AA64" i="35"/>
  <c r="Z64" i="35"/>
  <c r="AB62" i="35"/>
  <c r="AA62" i="35"/>
  <c r="Z62" i="35"/>
  <c r="AB61" i="35"/>
  <c r="AA61" i="35"/>
  <c r="Z61" i="35"/>
  <c r="AB127" i="35"/>
  <c r="AA127" i="35"/>
  <c r="Z127" i="35"/>
  <c r="AB126" i="35"/>
  <c r="AA126" i="35"/>
  <c r="Z126" i="35"/>
  <c r="AB125" i="35"/>
  <c r="AA125" i="35"/>
  <c r="Z125" i="35"/>
  <c r="AB124" i="35"/>
  <c r="AA124" i="35"/>
  <c r="Z124" i="35"/>
  <c r="AB123" i="35"/>
  <c r="AA123" i="35"/>
  <c r="Z123" i="35"/>
  <c r="AB47" i="35"/>
  <c r="AA47" i="35"/>
  <c r="Z47" i="35"/>
  <c r="AB46" i="35"/>
  <c r="AA46" i="35"/>
  <c r="Z46" i="35"/>
  <c r="AB43" i="35"/>
  <c r="AA43" i="35"/>
  <c r="Z43" i="35"/>
  <c r="AB42" i="35"/>
  <c r="AA42" i="35"/>
  <c r="Z42" i="35"/>
  <c r="AB41" i="35"/>
  <c r="AA41" i="35"/>
  <c r="Z41" i="35"/>
  <c r="AB37" i="35"/>
  <c r="AA37" i="35"/>
  <c r="Z37" i="35"/>
  <c r="AB36" i="35"/>
  <c r="AA36" i="35"/>
  <c r="Z36" i="35"/>
  <c r="AB31" i="35"/>
  <c r="AA31" i="35"/>
  <c r="Z31" i="35"/>
  <c r="AB30" i="35"/>
  <c r="AA30" i="35"/>
  <c r="Z30" i="35"/>
  <c r="AB29" i="35"/>
  <c r="AA29" i="35"/>
  <c r="Z29" i="35"/>
  <c r="AB45" i="35"/>
  <c r="AA45" i="35"/>
  <c r="Z45" i="35"/>
  <c r="AB44" i="35"/>
  <c r="AA44" i="35"/>
  <c r="Z44" i="35"/>
  <c r="AB28" i="35"/>
  <c r="AA28" i="35"/>
  <c r="Z28" i="35"/>
  <c r="AB27" i="35"/>
  <c r="AA27" i="35"/>
  <c r="Z27" i="35"/>
  <c r="AB26" i="35"/>
  <c r="AA26" i="35"/>
  <c r="Z26" i="35"/>
  <c r="AB59" i="35"/>
  <c r="AA59" i="35"/>
  <c r="Z59" i="35"/>
  <c r="AB58" i="35"/>
  <c r="AA58" i="35"/>
  <c r="Z58" i="35"/>
  <c r="AB57" i="35"/>
  <c r="AA57" i="35"/>
  <c r="Z57" i="35"/>
  <c r="AB93" i="35"/>
  <c r="AA93" i="35"/>
  <c r="Z93" i="35"/>
  <c r="AB92" i="35"/>
  <c r="AA92" i="35"/>
  <c r="Z92" i="35"/>
  <c r="AB91" i="35"/>
  <c r="AA91" i="35"/>
  <c r="Z91" i="35"/>
  <c r="AB90" i="35"/>
  <c r="AA90" i="35"/>
  <c r="Z90" i="35"/>
  <c r="AB89" i="35"/>
  <c r="AA89" i="35"/>
  <c r="Z89" i="35"/>
  <c r="AB88" i="35"/>
  <c r="AA88" i="35"/>
  <c r="Z88" i="35"/>
  <c r="AB87" i="35"/>
  <c r="AA87" i="35"/>
  <c r="Z87" i="35"/>
  <c r="AB86" i="35"/>
  <c r="AA86" i="35"/>
  <c r="Z86" i="35"/>
  <c r="AB85" i="35"/>
  <c r="AA85" i="35"/>
  <c r="Z85" i="35"/>
  <c r="AB84" i="35"/>
  <c r="AA84" i="35"/>
  <c r="Z84" i="35"/>
  <c r="AB83" i="35"/>
  <c r="AA83" i="35"/>
  <c r="Z83" i="35"/>
  <c r="AB82" i="35"/>
  <c r="AA82" i="35"/>
  <c r="Z82" i="35"/>
  <c r="AB81" i="35"/>
  <c r="AA81" i="35"/>
  <c r="Z81" i="35"/>
  <c r="AB80" i="35"/>
  <c r="AA80" i="35"/>
  <c r="Z80" i="35"/>
  <c r="AB79" i="35"/>
  <c r="AA79" i="35"/>
  <c r="Z79" i="35"/>
  <c r="AB78" i="35"/>
  <c r="AA78" i="35"/>
  <c r="Z78" i="35"/>
  <c r="AB77" i="35"/>
  <c r="AA77" i="35"/>
  <c r="Z77" i="35"/>
  <c r="AB56" i="35"/>
  <c r="AA56" i="35"/>
  <c r="Z56" i="35"/>
  <c r="AB55" i="35"/>
  <c r="AA55" i="35"/>
  <c r="Z55" i="35"/>
  <c r="AB96" i="35"/>
  <c r="AA96" i="35"/>
  <c r="Z96" i="35"/>
  <c r="AB95" i="35"/>
  <c r="AA95" i="35"/>
  <c r="Z95" i="35"/>
  <c r="AB122" i="35"/>
  <c r="AA122" i="35"/>
  <c r="Z122" i="35"/>
  <c r="AB121" i="35"/>
  <c r="AA121" i="35"/>
  <c r="Z121" i="35"/>
  <c r="AB33" i="35"/>
  <c r="AA33" i="35"/>
  <c r="Z33" i="35"/>
  <c r="AB32" i="35"/>
  <c r="AA32" i="35"/>
  <c r="Z32" i="35"/>
  <c r="AB60" i="35"/>
  <c r="AA60" i="35"/>
  <c r="Z60" i="35"/>
  <c r="AB129" i="35"/>
  <c r="AA129" i="35"/>
  <c r="Z129" i="35"/>
  <c r="AB54" i="35"/>
  <c r="AA54" i="35"/>
  <c r="Z54" i="35"/>
  <c r="AB53" i="35"/>
  <c r="AA53" i="35"/>
  <c r="Z53" i="35"/>
  <c r="AB52" i="35"/>
  <c r="AA52" i="35"/>
  <c r="Z52" i="35"/>
  <c r="AB51" i="35"/>
  <c r="AA51" i="35"/>
  <c r="Z51" i="35"/>
  <c r="AB50" i="35"/>
  <c r="AA50" i="35"/>
  <c r="Z50" i="35"/>
  <c r="AB16" i="35"/>
  <c r="AA16" i="35"/>
  <c r="Z16" i="35"/>
  <c r="AB15" i="35"/>
  <c r="AA15" i="35"/>
  <c r="Z15" i="35"/>
  <c r="AB14" i="35"/>
  <c r="AA14" i="35"/>
  <c r="Z14" i="35"/>
  <c r="AB13" i="35"/>
  <c r="AA13" i="35"/>
  <c r="Z13" i="35"/>
  <c r="AB24" i="35"/>
  <c r="AA24" i="35"/>
  <c r="Z24" i="35"/>
  <c r="AB23" i="35"/>
  <c r="AA23" i="35"/>
  <c r="Z23" i="35"/>
  <c r="AB22" i="35"/>
  <c r="AA22" i="35"/>
  <c r="Z22" i="35"/>
  <c r="AB21" i="35"/>
  <c r="AA21" i="35"/>
  <c r="Z21" i="35"/>
  <c r="AB20" i="35"/>
  <c r="AA20" i="35"/>
  <c r="Z20" i="35"/>
  <c r="AB19" i="35"/>
  <c r="AA19" i="35"/>
  <c r="Z19" i="35"/>
  <c r="AB18" i="35"/>
  <c r="AA18" i="35"/>
  <c r="Z18" i="35"/>
  <c r="AB17" i="35"/>
  <c r="AA17" i="35"/>
  <c r="Z17" i="35"/>
  <c r="AB12" i="35"/>
  <c r="AA12" i="35"/>
  <c r="Z12" i="35"/>
  <c r="AB11" i="35"/>
  <c r="AA11" i="35"/>
  <c r="Z11" i="35"/>
  <c r="AE67" i="35"/>
  <c r="AD67" i="35"/>
  <c r="AC67" i="35"/>
  <c r="Y67" i="35"/>
  <c r="X67" i="35"/>
  <c r="W67" i="35"/>
  <c r="P67" i="35"/>
  <c r="AF67" i="35" s="1"/>
  <c r="AE41" i="35"/>
  <c r="AD41" i="35"/>
  <c r="AC41" i="35"/>
  <c r="Y41" i="35"/>
  <c r="X41" i="35"/>
  <c r="W41" i="35"/>
  <c r="P41" i="35"/>
  <c r="AF41" i="35" s="1"/>
  <c r="AE151" i="35"/>
  <c r="AD151" i="35"/>
  <c r="AC151" i="35"/>
  <c r="Y151" i="35"/>
  <c r="X151" i="35"/>
  <c r="W151" i="35"/>
  <c r="P151" i="35"/>
  <c r="AF151" i="35" s="1"/>
  <c r="AE162" i="35"/>
  <c r="AD162" i="35"/>
  <c r="AC162" i="35"/>
  <c r="Y162" i="35"/>
  <c r="X162" i="35"/>
  <c r="W162" i="35"/>
  <c r="P162" i="35"/>
  <c r="AF162" i="35" s="1"/>
  <c r="AE160" i="35"/>
  <c r="AD160" i="35"/>
  <c r="AC160" i="35"/>
  <c r="Y160" i="35"/>
  <c r="X160" i="35"/>
  <c r="W160" i="35"/>
  <c r="P160" i="35"/>
  <c r="AF160" i="35" s="1"/>
  <c r="AE156" i="35"/>
  <c r="AD156" i="35"/>
  <c r="AC156" i="35"/>
  <c r="Y156" i="35"/>
  <c r="X156" i="35"/>
  <c r="W156" i="35"/>
  <c r="P156" i="35"/>
  <c r="AF156" i="35" s="1"/>
  <c r="AE147" i="35"/>
  <c r="AD147" i="35"/>
  <c r="AC147" i="35"/>
  <c r="Y147" i="35"/>
  <c r="X147" i="35"/>
  <c r="W147" i="35"/>
  <c r="P147" i="35"/>
  <c r="AF147" i="35" s="1"/>
  <c r="AE153" i="35"/>
  <c r="AD153" i="35"/>
  <c r="AC153" i="35"/>
  <c r="Y153" i="35"/>
  <c r="X153" i="35"/>
  <c r="W153" i="35"/>
  <c r="P153" i="35"/>
  <c r="AF153" i="35" s="1"/>
  <c r="AE152" i="35"/>
  <c r="AD152" i="35"/>
  <c r="AC152" i="35"/>
  <c r="Y152" i="35"/>
  <c r="X152" i="35"/>
  <c r="W152" i="35"/>
  <c r="P152" i="35"/>
  <c r="AF152" i="35" s="1"/>
  <c r="AE154" i="35"/>
  <c r="AD154" i="35"/>
  <c r="AC154" i="35"/>
  <c r="Y154" i="35"/>
  <c r="X154" i="35"/>
  <c r="W154" i="35"/>
  <c r="P154" i="35"/>
  <c r="AF154" i="35" s="1"/>
  <c r="AE143" i="35"/>
  <c r="AD143" i="35"/>
  <c r="AC143" i="35"/>
  <c r="Y143" i="35"/>
  <c r="X143" i="35"/>
  <c r="W143" i="35"/>
  <c r="P143" i="35"/>
  <c r="AF143" i="35" s="1"/>
  <c r="AE142" i="35"/>
  <c r="AD142" i="35"/>
  <c r="AC142" i="35"/>
  <c r="Y142" i="35"/>
  <c r="X142" i="35"/>
  <c r="W142" i="35"/>
  <c r="P142" i="35"/>
  <c r="AF142" i="35" s="1"/>
  <c r="AE149" i="35"/>
  <c r="AD149" i="35"/>
  <c r="AC149" i="35"/>
  <c r="Y149" i="35"/>
  <c r="X149" i="35"/>
  <c r="W149" i="35"/>
  <c r="P149" i="35"/>
  <c r="AE145" i="35"/>
  <c r="AD145" i="35"/>
  <c r="AC145" i="35"/>
  <c r="Y145" i="35"/>
  <c r="X145" i="35"/>
  <c r="W145" i="35"/>
  <c r="P145" i="35"/>
  <c r="AF145" i="35" s="1"/>
  <c r="AE144" i="35"/>
  <c r="AD144" i="35"/>
  <c r="AC144" i="35"/>
  <c r="Y144" i="35"/>
  <c r="X144" i="35"/>
  <c r="W144" i="35"/>
  <c r="P144" i="35"/>
  <c r="AF144" i="35" s="1"/>
  <c r="AE159" i="35"/>
  <c r="AD159" i="35"/>
  <c r="AC159" i="35"/>
  <c r="Y159" i="35"/>
  <c r="X159" i="35"/>
  <c r="W159" i="35"/>
  <c r="P159" i="35"/>
  <c r="AF159" i="35" s="1"/>
  <c r="AE158" i="35"/>
  <c r="AD158" i="35"/>
  <c r="AC158" i="35"/>
  <c r="Y158" i="35"/>
  <c r="X158" i="35"/>
  <c r="W158" i="35"/>
  <c r="P158" i="35"/>
  <c r="AF158" i="35" s="1"/>
  <c r="AE157" i="35"/>
  <c r="AD157" i="35"/>
  <c r="AC157" i="35"/>
  <c r="Y157" i="35"/>
  <c r="X157" i="35"/>
  <c r="W157" i="35"/>
  <c r="P157" i="35"/>
  <c r="AF157" i="35" s="1"/>
  <c r="AE155" i="35"/>
  <c r="AD155" i="35"/>
  <c r="AC155" i="35"/>
  <c r="Y155" i="35"/>
  <c r="X155" i="35"/>
  <c r="W155" i="35"/>
  <c r="P155" i="35"/>
  <c r="AF155" i="35" s="1"/>
  <c r="AE150" i="35"/>
  <c r="AD150" i="35"/>
  <c r="AC150" i="35"/>
  <c r="Y150" i="35"/>
  <c r="X150" i="35"/>
  <c r="W150" i="35"/>
  <c r="P150" i="35"/>
  <c r="AF150" i="35" s="1"/>
  <c r="AE161" i="35"/>
  <c r="AD161" i="35"/>
  <c r="AC161" i="35"/>
  <c r="Y161" i="35"/>
  <c r="X161" i="35"/>
  <c r="W161" i="35"/>
  <c r="P161" i="35"/>
  <c r="AF161" i="35" s="1"/>
  <c r="AE146" i="35"/>
  <c r="AD146" i="35"/>
  <c r="AC146" i="35"/>
  <c r="Y146" i="35"/>
  <c r="X146" i="35"/>
  <c r="W146" i="35"/>
  <c r="P146" i="35"/>
  <c r="AF146" i="35" s="1"/>
  <c r="AE141" i="35"/>
  <c r="AD141" i="35"/>
  <c r="AC141" i="35"/>
  <c r="Y141" i="35"/>
  <c r="X141" i="35"/>
  <c r="W141" i="35"/>
  <c r="P141" i="35"/>
  <c r="AF141" i="35" s="1"/>
  <c r="AE140" i="35"/>
  <c r="AD140" i="35"/>
  <c r="AC140" i="35"/>
  <c r="Y140" i="35"/>
  <c r="X140" i="35"/>
  <c r="W140" i="35"/>
  <c r="P140" i="35"/>
  <c r="AF140" i="35" s="1"/>
  <c r="AE139" i="35"/>
  <c r="AD139" i="35"/>
  <c r="AC139" i="35"/>
  <c r="Y139" i="35"/>
  <c r="X139" i="35"/>
  <c r="W139" i="35"/>
  <c r="P139" i="35"/>
  <c r="AF139" i="35" s="1"/>
  <c r="AE138" i="35"/>
  <c r="AD138" i="35"/>
  <c r="AC138" i="35"/>
  <c r="Y138" i="35"/>
  <c r="X138" i="35"/>
  <c r="W138" i="35"/>
  <c r="P138" i="35"/>
  <c r="AF138" i="35" s="1"/>
  <c r="AE137" i="35"/>
  <c r="AD137" i="35"/>
  <c r="AC137" i="35"/>
  <c r="Y137" i="35"/>
  <c r="X137" i="35"/>
  <c r="W137" i="35"/>
  <c r="P137" i="35"/>
  <c r="AE136" i="35"/>
  <c r="AD136" i="35"/>
  <c r="AC136" i="35"/>
  <c r="Y136" i="35"/>
  <c r="X136" i="35"/>
  <c r="W136" i="35"/>
  <c r="P136" i="35"/>
  <c r="AF136" i="35" s="1"/>
  <c r="AE135" i="35"/>
  <c r="AD135" i="35"/>
  <c r="AC135" i="35"/>
  <c r="Y135" i="35"/>
  <c r="X135" i="35"/>
  <c r="W135" i="35"/>
  <c r="P135" i="35"/>
  <c r="AF135" i="35" s="1"/>
  <c r="AE134" i="35"/>
  <c r="AD134" i="35"/>
  <c r="AC134" i="35"/>
  <c r="Y134" i="35"/>
  <c r="X134" i="35"/>
  <c r="W134" i="35"/>
  <c r="P134" i="35"/>
  <c r="AF134" i="35" s="1"/>
  <c r="AE133" i="35"/>
  <c r="AD133" i="35"/>
  <c r="AC133" i="35"/>
  <c r="Y133" i="35"/>
  <c r="X133" i="35"/>
  <c r="W133" i="35"/>
  <c r="P133" i="35"/>
  <c r="AF133" i="35" s="1"/>
  <c r="AE132" i="35"/>
  <c r="AD132" i="35"/>
  <c r="AC132" i="35"/>
  <c r="Y132" i="35"/>
  <c r="X132" i="35"/>
  <c r="W132" i="35"/>
  <c r="P132" i="35"/>
  <c r="AF132" i="35" s="1"/>
  <c r="AE131" i="35"/>
  <c r="AD131" i="35"/>
  <c r="AC131" i="35"/>
  <c r="Y131" i="35"/>
  <c r="X131" i="35"/>
  <c r="W131" i="35"/>
  <c r="P131" i="35"/>
  <c r="AF131" i="35" s="1"/>
  <c r="AE100" i="35"/>
  <c r="AD100" i="35"/>
  <c r="AC100" i="35"/>
  <c r="Y100" i="35"/>
  <c r="X100" i="35"/>
  <c r="W100" i="35"/>
  <c r="P100" i="35"/>
  <c r="AF100" i="35" s="1"/>
  <c r="AE99" i="35"/>
  <c r="AD99" i="35"/>
  <c r="AC99" i="35"/>
  <c r="Y99" i="35"/>
  <c r="X99" i="35"/>
  <c r="W99" i="35"/>
  <c r="P99" i="35"/>
  <c r="AE98" i="35"/>
  <c r="AD98" i="35"/>
  <c r="AC98" i="35"/>
  <c r="Y98" i="35"/>
  <c r="X98" i="35"/>
  <c r="W98" i="35"/>
  <c r="P98" i="35"/>
  <c r="AE97" i="35"/>
  <c r="AD97" i="35"/>
  <c r="AC97" i="35"/>
  <c r="Y97" i="35"/>
  <c r="X97" i="35"/>
  <c r="W97" i="35"/>
  <c r="P97" i="35"/>
  <c r="AE116" i="35"/>
  <c r="AD116" i="35"/>
  <c r="AC116" i="35"/>
  <c r="Y116" i="35"/>
  <c r="X116" i="35"/>
  <c r="W116" i="35"/>
  <c r="P116" i="35"/>
  <c r="AF116" i="35" s="1"/>
  <c r="AE115" i="35"/>
  <c r="AD115" i="35"/>
  <c r="AC115" i="35"/>
  <c r="Y115" i="35"/>
  <c r="X115" i="35"/>
  <c r="W115" i="35"/>
  <c r="P115" i="35"/>
  <c r="Q115" i="35" s="1"/>
  <c r="V115" i="35" s="1"/>
  <c r="AE114" i="35"/>
  <c r="AD114" i="35"/>
  <c r="AC114" i="35"/>
  <c r="Y114" i="35"/>
  <c r="X114" i="35"/>
  <c r="W114" i="35"/>
  <c r="P114" i="35"/>
  <c r="AF114" i="35" s="1"/>
  <c r="AE113" i="35"/>
  <c r="AD113" i="35"/>
  <c r="AC113" i="35"/>
  <c r="Y113" i="35"/>
  <c r="X113" i="35"/>
  <c r="W113" i="35"/>
  <c r="P113" i="35"/>
  <c r="AF113" i="35" s="1"/>
  <c r="AE108" i="35"/>
  <c r="AD108" i="35"/>
  <c r="AC108" i="35"/>
  <c r="Y108" i="35"/>
  <c r="X108" i="35"/>
  <c r="W108" i="35"/>
  <c r="P108" i="35"/>
  <c r="AF108" i="35" s="1"/>
  <c r="AE107" i="35"/>
  <c r="AD107" i="35"/>
  <c r="AC107" i="35"/>
  <c r="Y107" i="35"/>
  <c r="X107" i="35"/>
  <c r="W107" i="35"/>
  <c r="S107" i="35"/>
  <c r="AE106" i="35"/>
  <c r="AD106" i="35"/>
  <c r="AC106" i="35"/>
  <c r="Y106" i="35"/>
  <c r="X106" i="35"/>
  <c r="W106" i="35"/>
  <c r="S106" i="35"/>
  <c r="AE105" i="35"/>
  <c r="AD105" i="35"/>
  <c r="AC105" i="35"/>
  <c r="Y105" i="35"/>
  <c r="X105" i="35"/>
  <c r="W105" i="35"/>
  <c r="P105" i="35"/>
  <c r="AF105" i="35" s="1"/>
  <c r="AE120" i="35"/>
  <c r="AD120" i="35"/>
  <c r="AC120" i="35"/>
  <c r="Y120" i="35"/>
  <c r="X120" i="35"/>
  <c r="W120" i="35"/>
  <c r="P120" i="35"/>
  <c r="AF120" i="35" s="1"/>
  <c r="AE119" i="35"/>
  <c r="AD119" i="35"/>
  <c r="AC119" i="35"/>
  <c r="Y119" i="35"/>
  <c r="X119" i="35"/>
  <c r="W119" i="35"/>
  <c r="P119" i="35"/>
  <c r="AF119" i="35" s="1"/>
  <c r="AE118" i="35"/>
  <c r="AD118" i="35"/>
  <c r="AC118" i="35"/>
  <c r="Y118" i="35"/>
  <c r="X118" i="35"/>
  <c r="W118" i="35"/>
  <c r="P118" i="35"/>
  <c r="AE117" i="35"/>
  <c r="AD117" i="35"/>
  <c r="AC117" i="35"/>
  <c r="Y117" i="35"/>
  <c r="X117" i="35"/>
  <c r="W117" i="35"/>
  <c r="P117" i="35"/>
  <c r="AE112" i="35"/>
  <c r="AD112" i="35"/>
  <c r="AC112" i="35"/>
  <c r="Y112" i="35"/>
  <c r="X112" i="35"/>
  <c r="W112" i="35"/>
  <c r="P112" i="35"/>
  <c r="AF112" i="35" s="1"/>
  <c r="AE111" i="35"/>
  <c r="AD111" i="35"/>
  <c r="AC111" i="35"/>
  <c r="Y111" i="35"/>
  <c r="X111" i="35"/>
  <c r="W111" i="35"/>
  <c r="P111" i="35"/>
  <c r="AF111" i="35" s="1"/>
  <c r="AE110" i="35"/>
  <c r="AD110" i="35"/>
  <c r="AC110" i="35"/>
  <c r="Y110" i="35"/>
  <c r="X110" i="35"/>
  <c r="W110" i="35"/>
  <c r="P110" i="35"/>
  <c r="AF110" i="35" s="1"/>
  <c r="AE109" i="35"/>
  <c r="AD109" i="35"/>
  <c r="AC109" i="35"/>
  <c r="Y109" i="35"/>
  <c r="X109" i="35"/>
  <c r="W109" i="35"/>
  <c r="P109" i="35"/>
  <c r="AF109" i="35" s="1"/>
  <c r="AE104" i="35"/>
  <c r="AD104" i="35"/>
  <c r="AC104" i="35"/>
  <c r="Y104" i="35"/>
  <c r="X104" i="35"/>
  <c r="W104" i="35"/>
  <c r="P104" i="35"/>
  <c r="AF104" i="35" s="1"/>
  <c r="AE103" i="35"/>
  <c r="AD103" i="35"/>
  <c r="AC103" i="35"/>
  <c r="Y103" i="35"/>
  <c r="X103" i="35"/>
  <c r="W103" i="35"/>
  <c r="P103" i="35"/>
  <c r="AF103" i="35" s="1"/>
  <c r="AE102" i="35"/>
  <c r="AD102" i="35"/>
  <c r="AC102" i="35"/>
  <c r="Y102" i="35"/>
  <c r="X102" i="35"/>
  <c r="W102" i="35"/>
  <c r="P102" i="35"/>
  <c r="AF102" i="35" s="1"/>
  <c r="AE101" i="35"/>
  <c r="AD101" i="35"/>
  <c r="AC101" i="35"/>
  <c r="Y101" i="35"/>
  <c r="X101" i="35"/>
  <c r="W101" i="35"/>
  <c r="P101" i="35"/>
  <c r="AF101" i="35" s="1"/>
  <c r="AE49" i="35"/>
  <c r="AD49" i="35"/>
  <c r="AC49" i="35"/>
  <c r="Y49" i="35"/>
  <c r="X49" i="35"/>
  <c r="W49" i="35"/>
  <c r="P49" i="35"/>
  <c r="AF49" i="35" s="1"/>
  <c r="AE48" i="35"/>
  <c r="AD48" i="35"/>
  <c r="AC48" i="35"/>
  <c r="Y48" i="35"/>
  <c r="X48" i="35"/>
  <c r="W48" i="35"/>
  <c r="P48" i="35"/>
  <c r="AF48" i="35" s="1"/>
  <c r="AE94" i="35"/>
  <c r="AD94" i="35"/>
  <c r="AC94" i="35"/>
  <c r="Y94" i="35"/>
  <c r="X94" i="35"/>
  <c r="W94" i="35"/>
  <c r="P94" i="35"/>
  <c r="AF94" i="35" s="1"/>
  <c r="AE128" i="35"/>
  <c r="AD128" i="35"/>
  <c r="AC128" i="35"/>
  <c r="Y128" i="35"/>
  <c r="X128" i="35"/>
  <c r="W128" i="35"/>
  <c r="P128" i="35"/>
  <c r="AF128" i="35" s="1"/>
  <c r="AE76" i="35"/>
  <c r="AD76" i="35"/>
  <c r="AC76" i="35"/>
  <c r="Y76" i="35"/>
  <c r="X76" i="35"/>
  <c r="W76" i="35"/>
  <c r="P76" i="35"/>
  <c r="AF76" i="35" s="1"/>
  <c r="AE75" i="35"/>
  <c r="AD75" i="35"/>
  <c r="AC75" i="35"/>
  <c r="Y75" i="35"/>
  <c r="X75" i="35"/>
  <c r="W75" i="35"/>
  <c r="P75" i="35"/>
  <c r="AF75" i="35" s="1"/>
  <c r="AE74" i="35"/>
  <c r="AD74" i="35"/>
  <c r="AC74" i="35"/>
  <c r="Y74" i="35"/>
  <c r="X74" i="35"/>
  <c r="W74" i="35"/>
  <c r="P74" i="35"/>
  <c r="AF74" i="35" s="1"/>
  <c r="AE73" i="35"/>
  <c r="AD73" i="35"/>
  <c r="AC73" i="35"/>
  <c r="Y73" i="35"/>
  <c r="X73" i="35"/>
  <c r="W73" i="35"/>
  <c r="P73" i="35"/>
  <c r="AF73" i="35" s="1"/>
  <c r="AE72" i="35"/>
  <c r="AD72" i="35"/>
  <c r="AC72" i="35"/>
  <c r="Y72" i="35"/>
  <c r="X72" i="35"/>
  <c r="W72" i="35"/>
  <c r="P72" i="35"/>
  <c r="AF72" i="35" s="1"/>
  <c r="AE71" i="35"/>
  <c r="AD71" i="35"/>
  <c r="AC71" i="35"/>
  <c r="Y71" i="35"/>
  <c r="X71" i="35"/>
  <c r="W71" i="35"/>
  <c r="P71" i="35"/>
  <c r="Q71" i="35" s="1"/>
  <c r="AE70" i="35"/>
  <c r="AD70" i="35"/>
  <c r="AC70" i="35"/>
  <c r="Y70" i="35"/>
  <c r="X70" i="35"/>
  <c r="W70" i="35"/>
  <c r="P70" i="35"/>
  <c r="AF70" i="35" s="1"/>
  <c r="AE69" i="35"/>
  <c r="AD69" i="35"/>
  <c r="AC69" i="35"/>
  <c r="Y69" i="35"/>
  <c r="X69" i="35"/>
  <c r="W69" i="35"/>
  <c r="P69" i="35"/>
  <c r="AF69" i="35" s="1"/>
  <c r="AE68" i="35"/>
  <c r="AD68" i="35"/>
  <c r="AC68" i="35"/>
  <c r="Y68" i="35"/>
  <c r="X68" i="35"/>
  <c r="W68" i="35"/>
  <c r="P68" i="35"/>
  <c r="AF68" i="35" s="1"/>
  <c r="AE66" i="35"/>
  <c r="AD66" i="35"/>
  <c r="AC66" i="35"/>
  <c r="Y66" i="35"/>
  <c r="X66" i="35"/>
  <c r="W66" i="35"/>
  <c r="P66" i="35"/>
  <c r="AE65" i="35"/>
  <c r="AD65" i="35"/>
  <c r="AC65" i="35"/>
  <c r="Y65" i="35"/>
  <c r="X65" i="35"/>
  <c r="W65" i="35"/>
  <c r="P65" i="35"/>
  <c r="AF65" i="35" s="1"/>
  <c r="AE64" i="35"/>
  <c r="AD64" i="35"/>
  <c r="AC64" i="35"/>
  <c r="Y64" i="35"/>
  <c r="X64" i="35"/>
  <c r="W64" i="35"/>
  <c r="P64" i="35"/>
  <c r="AF64" i="35" s="1"/>
  <c r="AE62" i="35"/>
  <c r="AD62" i="35"/>
  <c r="AC62" i="35"/>
  <c r="Y62" i="35"/>
  <c r="X62" i="35"/>
  <c r="W62" i="35"/>
  <c r="P62" i="35"/>
  <c r="AF62" i="35" s="1"/>
  <c r="AE61" i="35"/>
  <c r="AD61" i="35"/>
  <c r="AC61" i="35"/>
  <c r="Y61" i="35"/>
  <c r="X61" i="35"/>
  <c r="W61" i="35"/>
  <c r="P61" i="35"/>
  <c r="AF61" i="35" s="1"/>
  <c r="AE127" i="35"/>
  <c r="AD127" i="35"/>
  <c r="AC127" i="35"/>
  <c r="Y127" i="35"/>
  <c r="X127" i="35"/>
  <c r="W127" i="35"/>
  <c r="P127" i="35"/>
  <c r="AF127" i="35" s="1"/>
  <c r="AE126" i="35"/>
  <c r="AD126" i="35"/>
  <c r="AC126" i="35"/>
  <c r="Y126" i="35"/>
  <c r="X126" i="35"/>
  <c r="W126" i="35"/>
  <c r="P126" i="35"/>
  <c r="AF126" i="35" s="1"/>
  <c r="AE125" i="35"/>
  <c r="AD125" i="35"/>
  <c r="AC125" i="35"/>
  <c r="Y125" i="35"/>
  <c r="X125" i="35"/>
  <c r="W125" i="35"/>
  <c r="P125" i="35"/>
  <c r="AF125" i="35" s="1"/>
  <c r="AE124" i="35"/>
  <c r="AD124" i="35"/>
  <c r="AC124" i="35"/>
  <c r="Y124" i="35"/>
  <c r="X124" i="35"/>
  <c r="W124" i="35"/>
  <c r="P124" i="35"/>
  <c r="AF124" i="35" s="1"/>
  <c r="AE123" i="35"/>
  <c r="AD123" i="35"/>
  <c r="AC123" i="35"/>
  <c r="Y123" i="35"/>
  <c r="X123" i="35"/>
  <c r="W123" i="35"/>
  <c r="P123" i="35"/>
  <c r="AE47" i="35"/>
  <c r="AD47" i="35"/>
  <c r="AC47" i="35"/>
  <c r="Y47" i="35"/>
  <c r="X47" i="35"/>
  <c r="W47" i="35"/>
  <c r="P47" i="35"/>
  <c r="AF47" i="35" s="1"/>
  <c r="AE46" i="35"/>
  <c r="AD46" i="35"/>
  <c r="AC46" i="35"/>
  <c r="Y46" i="35"/>
  <c r="X46" i="35"/>
  <c r="W46" i="35"/>
  <c r="P46" i="35"/>
  <c r="AF46" i="35" s="1"/>
  <c r="AE43" i="35"/>
  <c r="AD43" i="35"/>
  <c r="AC43" i="35"/>
  <c r="Y43" i="35"/>
  <c r="X43" i="35"/>
  <c r="W43" i="35"/>
  <c r="P43" i="35"/>
  <c r="AF43" i="35" s="1"/>
  <c r="AE42" i="35"/>
  <c r="AD42" i="35"/>
  <c r="AC42" i="35"/>
  <c r="Y42" i="35"/>
  <c r="X42" i="35"/>
  <c r="W42" i="35"/>
  <c r="P42" i="35"/>
  <c r="AF42" i="35" s="1"/>
  <c r="AE37" i="35"/>
  <c r="AD37" i="35"/>
  <c r="AC37" i="35"/>
  <c r="Y37" i="35"/>
  <c r="X37" i="35"/>
  <c r="W37" i="35"/>
  <c r="P37" i="35"/>
  <c r="AF37" i="35" s="1"/>
  <c r="AE36" i="35"/>
  <c r="AD36" i="35"/>
  <c r="AC36" i="35"/>
  <c r="Y36" i="35"/>
  <c r="X36" i="35"/>
  <c r="W36" i="35"/>
  <c r="P36" i="35"/>
  <c r="AF36" i="35" s="1"/>
  <c r="AE31" i="35"/>
  <c r="AD31" i="35"/>
  <c r="AC31" i="35"/>
  <c r="Y31" i="35"/>
  <c r="X31" i="35"/>
  <c r="W31" i="35"/>
  <c r="P31" i="35"/>
  <c r="AF31" i="35" s="1"/>
  <c r="AE30" i="35"/>
  <c r="AD30" i="35"/>
  <c r="AC30" i="35"/>
  <c r="Y30" i="35"/>
  <c r="X30" i="35"/>
  <c r="W30" i="35"/>
  <c r="P30" i="35"/>
  <c r="AF30" i="35" s="1"/>
  <c r="AE29" i="35"/>
  <c r="AD29" i="35"/>
  <c r="AC29" i="35"/>
  <c r="Y29" i="35"/>
  <c r="X29" i="35"/>
  <c r="W29" i="35"/>
  <c r="P29" i="35"/>
  <c r="AF29" i="35" s="1"/>
  <c r="AE45" i="35"/>
  <c r="AD45" i="35"/>
  <c r="AC45" i="35"/>
  <c r="Y45" i="35"/>
  <c r="X45" i="35"/>
  <c r="W45" i="35"/>
  <c r="P45" i="35"/>
  <c r="AF45" i="35" s="1"/>
  <c r="AE44" i="35"/>
  <c r="AD44" i="35"/>
  <c r="AC44" i="35"/>
  <c r="Y44" i="35"/>
  <c r="X44" i="35"/>
  <c r="W44" i="35"/>
  <c r="P44" i="35"/>
  <c r="Q44" i="35" s="1"/>
  <c r="V44" i="35" s="1"/>
  <c r="AE28" i="35"/>
  <c r="AD28" i="35"/>
  <c r="AC28" i="35"/>
  <c r="Y28" i="35"/>
  <c r="X28" i="35"/>
  <c r="W28" i="35"/>
  <c r="P28" i="35"/>
  <c r="AF28" i="35" s="1"/>
  <c r="AE27" i="35"/>
  <c r="AD27" i="35"/>
  <c r="AC27" i="35"/>
  <c r="Y27" i="35"/>
  <c r="X27" i="35"/>
  <c r="W27" i="35"/>
  <c r="P27" i="35"/>
  <c r="AF27" i="35" s="1"/>
  <c r="AE26" i="35"/>
  <c r="AD26" i="35"/>
  <c r="AC26" i="35"/>
  <c r="Y26" i="35"/>
  <c r="X26" i="35"/>
  <c r="W26" i="35"/>
  <c r="P26" i="35"/>
  <c r="AF26" i="35" s="1"/>
  <c r="AE59" i="35"/>
  <c r="AD59" i="35"/>
  <c r="AC59" i="35"/>
  <c r="Y59" i="35"/>
  <c r="X59" i="35"/>
  <c r="W59" i="35"/>
  <c r="P59" i="35"/>
  <c r="AF59" i="35" s="1"/>
  <c r="AE58" i="35"/>
  <c r="AD58" i="35"/>
  <c r="AC58" i="35"/>
  <c r="Y58" i="35"/>
  <c r="X58" i="35"/>
  <c r="W58" i="35"/>
  <c r="P58" i="35"/>
  <c r="AF58" i="35" s="1"/>
  <c r="AE57" i="35"/>
  <c r="AD57" i="35"/>
  <c r="AC57" i="35"/>
  <c r="Y57" i="35"/>
  <c r="X57" i="35"/>
  <c r="W57" i="35"/>
  <c r="P57" i="35"/>
  <c r="AF57" i="35" s="1"/>
  <c r="AE93" i="35"/>
  <c r="AD93" i="35"/>
  <c r="AC93" i="35"/>
  <c r="Y93" i="35"/>
  <c r="X93" i="35"/>
  <c r="W93" i="35"/>
  <c r="P93" i="35"/>
  <c r="Q93" i="35" s="1"/>
  <c r="S93" i="35" s="1"/>
  <c r="AE92" i="35"/>
  <c r="AD92" i="35"/>
  <c r="AC92" i="35"/>
  <c r="Y92" i="35"/>
  <c r="X92" i="35"/>
  <c r="W92" i="35"/>
  <c r="P92" i="35"/>
  <c r="Q92" i="35" s="1"/>
  <c r="V92" i="35" s="1"/>
  <c r="AE91" i="35"/>
  <c r="AD91" i="35"/>
  <c r="AC91" i="35"/>
  <c r="Y91" i="35"/>
  <c r="X91" i="35"/>
  <c r="W91" i="35"/>
  <c r="P91" i="35"/>
  <c r="AF91" i="35" s="1"/>
  <c r="AE90" i="35"/>
  <c r="AD90" i="35"/>
  <c r="AC90" i="35"/>
  <c r="Y90" i="35"/>
  <c r="X90" i="35"/>
  <c r="W90" i="35"/>
  <c r="P90" i="35"/>
  <c r="AF90" i="35" s="1"/>
  <c r="AE89" i="35"/>
  <c r="AD89" i="35"/>
  <c r="AC89" i="35"/>
  <c r="Y89" i="35"/>
  <c r="X89" i="35"/>
  <c r="W89" i="35"/>
  <c r="P89" i="35"/>
  <c r="AF89" i="35" s="1"/>
  <c r="AE88" i="35"/>
  <c r="AD88" i="35"/>
  <c r="AC88" i="35"/>
  <c r="Y88" i="35"/>
  <c r="X88" i="35"/>
  <c r="W88" i="35"/>
  <c r="P88" i="35"/>
  <c r="AF88" i="35" s="1"/>
  <c r="AE87" i="35"/>
  <c r="AD87" i="35"/>
  <c r="AC87" i="35"/>
  <c r="Y87" i="35"/>
  <c r="X87" i="35"/>
  <c r="W87" i="35"/>
  <c r="P87" i="35"/>
  <c r="AF87" i="35" s="1"/>
  <c r="AE86" i="35"/>
  <c r="AD86" i="35"/>
  <c r="AC86" i="35"/>
  <c r="Y86" i="35"/>
  <c r="X86" i="35"/>
  <c r="W86" i="35"/>
  <c r="P86" i="35"/>
  <c r="AE85" i="35"/>
  <c r="AD85" i="35"/>
  <c r="AC85" i="35"/>
  <c r="Y85" i="35"/>
  <c r="X85" i="35"/>
  <c r="W85" i="35"/>
  <c r="P85" i="35"/>
  <c r="AF85" i="35" s="1"/>
  <c r="AE84" i="35"/>
  <c r="AD84" i="35"/>
  <c r="AC84" i="35"/>
  <c r="Y84" i="35"/>
  <c r="X84" i="35"/>
  <c r="W84" i="35"/>
  <c r="P84" i="35"/>
  <c r="Q84" i="35" s="1"/>
  <c r="S84" i="35" s="1"/>
  <c r="AE83" i="35"/>
  <c r="AD83" i="35"/>
  <c r="AC83" i="35"/>
  <c r="Y83" i="35"/>
  <c r="X83" i="35"/>
  <c r="W83" i="35"/>
  <c r="P83" i="35"/>
  <c r="AF83" i="35" s="1"/>
  <c r="AE82" i="35"/>
  <c r="AD82" i="35"/>
  <c r="AC82" i="35"/>
  <c r="Y82" i="35"/>
  <c r="X82" i="35"/>
  <c r="W82" i="35"/>
  <c r="P82" i="35"/>
  <c r="AF82" i="35" s="1"/>
  <c r="AE81" i="35"/>
  <c r="AD81" i="35"/>
  <c r="AC81" i="35"/>
  <c r="Y81" i="35"/>
  <c r="X81" i="35"/>
  <c r="W81" i="35"/>
  <c r="P81" i="35"/>
  <c r="AF81" i="35" s="1"/>
  <c r="AE80" i="35"/>
  <c r="AD80" i="35"/>
  <c r="AC80" i="35"/>
  <c r="Y80" i="35"/>
  <c r="X80" i="35"/>
  <c r="W80" i="35"/>
  <c r="P80" i="35"/>
  <c r="AE79" i="35"/>
  <c r="AD79" i="35"/>
  <c r="AC79" i="35"/>
  <c r="Y79" i="35"/>
  <c r="X79" i="35"/>
  <c r="W79" i="35"/>
  <c r="P79" i="35"/>
  <c r="AF79" i="35" s="1"/>
  <c r="AE78" i="35"/>
  <c r="AD78" i="35"/>
  <c r="AC78" i="35"/>
  <c r="Y78" i="35"/>
  <c r="X78" i="35"/>
  <c r="W78" i="35"/>
  <c r="P78" i="35"/>
  <c r="AF78" i="35" s="1"/>
  <c r="AE77" i="35"/>
  <c r="AD77" i="35"/>
  <c r="AC77" i="35"/>
  <c r="Y77" i="35"/>
  <c r="X77" i="35"/>
  <c r="W77" i="35"/>
  <c r="P77" i="35"/>
  <c r="AF77" i="35" s="1"/>
  <c r="AE56" i="35"/>
  <c r="AD56" i="35"/>
  <c r="AC56" i="35"/>
  <c r="Y56" i="35"/>
  <c r="X56" i="35"/>
  <c r="W56" i="35"/>
  <c r="P56" i="35"/>
  <c r="AF56" i="35" s="1"/>
  <c r="AE55" i="35"/>
  <c r="AD55" i="35"/>
  <c r="AC55" i="35"/>
  <c r="Y55" i="35"/>
  <c r="X55" i="35"/>
  <c r="W55" i="35"/>
  <c r="P55" i="35"/>
  <c r="AF55" i="35" s="1"/>
  <c r="AE96" i="35"/>
  <c r="AD96" i="35"/>
  <c r="AC96" i="35"/>
  <c r="Y96" i="35"/>
  <c r="X96" i="35"/>
  <c r="W96" i="35"/>
  <c r="P96" i="35"/>
  <c r="AF96" i="35" s="1"/>
  <c r="AE95" i="35"/>
  <c r="AD95" i="35"/>
  <c r="AC95" i="35"/>
  <c r="Y95" i="35"/>
  <c r="X95" i="35"/>
  <c r="W95" i="35"/>
  <c r="P95" i="35"/>
  <c r="AF95" i="35" s="1"/>
  <c r="AE122" i="35"/>
  <c r="AD122" i="35"/>
  <c r="AC122" i="35"/>
  <c r="Y122" i="35"/>
  <c r="X122" i="35"/>
  <c r="W122" i="35"/>
  <c r="P122" i="35"/>
  <c r="AF122" i="35" s="1"/>
  <c r="AE121" i="35"/>
  <c r="AD121" i="35"/>
  <c r="AC121" i="35"/>
  <c r="Y121" i="35"/>
  <c r="X121" i="35"/>
  <c r="W121" i="35"/>
  <c r="P121" i="35"/>
  <c r="AF121" i="35" s="1"/>
  <c r="AE33" i="35"/>
  <c r="AD33" i="35"/>
  <c r="AC33" i="35"/>
  <c r="Y33" i="35"/>
  <c r="X33" i="35"/>
  <c r="W33" i="35"/>
  <c r="P33" i="35"/>
  <c r="Q33" i="35" s="1"/>
  <c r="V33" i="35" s="1"/>
  <c r="AE32" i="35"/>
  <c r="AD32" i="35"/>
  <c r="AC32" i="35"/>
  <c r="Y32" i="35"/>
  <c r="X32" i="35"/>
  <c r="W32" i="35"/>
  <c r="P32" i="35"/>
  <c r="AF32" i="35" s="1"/>
  <c r="AE60" i="35"/>
  <c r="AD60" i="35"/>
  <c r="AC60" i="35"/>
  <c r="Y60" i="35"/>
  <c r="X60" i="35"/>
  <c r="W60" i="35"/>
  <c r="P60" i="35"/>
  <c r="AF60" i="35" s="1"/>
  <c r="AE129" i="35"/>
  <c r="AD129" i="35"/>
  <c r="AC129" i="35"/>
  <c r="Y129" i="35"/>
  <c r="X129" i="35"/>
  <c r="W129" i="35"/>
  <c r="P129" i="35"/>
  <c r="AF129" i="35" s="1"/>
  <c r="AE54" i="35"/>
  <c r="AD54" i="35"/>
  <c r="AC54" i="35"/>
  <c r="Y54" i="35"/>
  <c r="X54" i="35"/>
  <c r="W54" i="35"/>
  <c r="P54" i="35"/>
  <c r="AF54" i="35" s="1"/>
  <c r="AE53" i="35"/>
  <c r="AD53" i="35"/>
  <c r="AC53" i="35"/>
  <c r="Y53" i="35"/>
  <c r="X53" i="35"/>
  <c r="W53" i="35"/>
  <c r="P53" i="35"/>
  <c r="AE52" i="35"/>
  <c r="AD52" i="35"/>
  <c r="AC52" i="35"/>
  <c r="Y52" i="35"/>
  <c r="X52" i="35"/>
  <c r="W52" i="35"/>
  <c r="P52" i="35"/>
  <c r="AE51" i="35"/>
  <c r="AD51" i="35"/>
  <c r="AC51" i="35"/>
  <c r="Y51" i="35"/>
  <c r="X51" i="35"/>
  <c r="W51" i="35"/>
  <c r="P51" i="35"/>
  <c r="AF51" i="35" s="1"/>
  <c r="AE50" i="35"/>
  <c r="AD50" i="35"/>
  <c r="AC50" i="35"/>
  <c r="Y50" i="35"/>
  <c r="X50" i="35"/>
  <c r="W50" i="35"/>
  <c r="P50" i="35"/>
  <c r="AF50" i="35" s="1"/>
  <c r="AE16" i="35"/>
  <c r="AD16" i="35"/>
  <c r="AC16" i="35"/>
  <c r="Y16" i="35"/>
  <c r="X16" i="35"/>
  <c r="W16" i="35"/>
  <c r="P16" i="35"/>
  <c r="AF16" i="35" s="1"/>
  <c r="AE15" i="35"/>
  <c r="AD15" i="35"/>
  <c r="AC15" i="35"/>
  <c r="Y15" i="35"/>
  <c r="X15" i="35"/>
  <c r="W15" i="35"/>
  <c r="P15" i="35"/>
  <c r="AF15" i="35" s="1"/>
  <c r="AE14" i="35"/>
  <c r="AD14" i="35"/>
  <c r="AC14" i="35"/>
  <c r="Y14" i="35"/>
  <c r="X14" i="35"/>
  <c r="W14" i="35"/>
  <c r="P14" i="35"/>
  <c r="AF14" i="35" s="1"/>
  <c r="AE13" i="35"/>
  <c r="AD13" i="35"/>
  <c r="AC13" i="35"/>
  <c r="Y13" i="35"/>
  <c r="X13" i="35"/>
  <c r="W13" i="35"/>
  <c r="P13" i="35"/>
  <c r="AF13" i="35" s="1"/>
  <c r="AE24" i="35"/>
  <c r="AD24" i="35"/>
  <c r="AC24" i="35"/>
  <c r="Y24" i="35"/>
  <c r="X24" i="35"/>
  <c r="W24" i="35"/>
  <c r="P24" i="35"/>
  <c r="AF24" i="35" s="1"/>
  <c r="AE23" i="35"/>
  <c r="AD23" i="35"/>
  <c r="AC23" i="35"/>
  <c r="Y23" i="35"/>
  <c r="X23" i="35"/>
  <c r="W23" i="35"/>
  <c r="P23" i="35"/>
  <c r="AF23" i="35" s="1"/>
  <c r="AE22" i="35"/>
  <c r="AD22" i="35"/>
  <c r="AC22" i="35"/>
  <c r="Y22" i="35"/>
  <c r="X22" i="35"/>
  <c r="W22" i="35"/>
  <c r="P22" i="35"/>
  <c r="AF22" i="35" s="1"/>
  <c r="AE21" i="35"/>
  <c r="AD21" i="35"/>
  <c r="AC21" i="35"/>
  <c r="Y21" i="35"/>
  <c r="X21" i="35"/>
  <c r="W21" i="35"/>
  <c r="P21" i="35"/>
  <c r="AF21" i="35" s="1"/>
  <c r="AE20" i="35"/>
  <c r="AD20" i="35"/>
  <c r="AC20" i="35"/>
  <c r="Y20" i="35"/>
  <c r="X20" i="35"/>
  <c r="W20" i="35"/>
  <c r="P20" i="35"/>
  <c r="AF20" i="35" s="1"/>
  <c r="AE19" i="35"/>
  <c r="AD19" i="35"/>
  <c r="AC19" i="35"/>
  <c r="Y19" i="35"/>
  <c r="X19" i="35"/>
  <c r="W19" i="35"/>
  <c r="P19" i="35"/>
  <c r="AE18" i="35"/>
  <c r="AD18" i="35"/>
  <c r="AC18" i="35"/>
  <c r="Y18" i="35"/>
  <c r="X18" i="35"/>
  <c r="W18" i="35"/>
  <c r="P18" i="35"/>
  <c r="Q18" i="35" s="1"/>
  <c r="AE17" i="35"/>
  <c r="AD17" i="35"/>
  <c r="AC17" i="35"/>
  <c r="Y17" i="35"/>
  <c r="X17" i="35"/>
  <c r="W17" i="35"/>
  <c r="P17" i="35"/>
  <c r="AF17" i="35" s="1"/>
  <c r="AE12" i="35"/>
  <c r="AD12" i="35"/>
  <c r="AC12" i="35"/>
  <c r="Y12" i="35"/>
  <c r="X12" i="35"/>
  <c r="W12" i="35"/>
  <c r="P12" i="35"/>
  <c r="AF12" i="35" s="1"/>
  <c r="AE11" i="35"/>
  <c r="AD11" i="35"/>
  <c r="AC11" i="35"/>
  <c r="Y11" i="35"/>
  <c r="X11" i="35"/>
  <c r="W11" i="35"/>
  <c r="P11" i="35"/>
  <c r="AF11" i="35" s="1"/>
  <c r="Q98" i="35" l="1"/>
  <c r="S98" i="35" s="1"/>
  <c r="AF98" i="35"/>
  <c r="Q97" i="35"/>
  <c r="S97" i="35" s="1"/>
  <c r="AF97" i="35"/>
  <c r="AA163" i="35"/>
  <c r="Q99" i="35"/>
  <c r="S99" i="35" s="1"/>
  <c r="AF99" i="35"/>
  <c r="AF66" i="35"/>
  <c r="Q66" i="35"/>
  <c r="Q62" i="35"/>
  <c r="S62" i="35" s="1"/>
  <c r="Z163" i="35"/>
  <c r="AB163" i="35"/>
  <c r="Q67" i="35"/>
  <c r="Q41" i="35"/>
  <c r="Q156" i="35"/>
  <c r="S156" i="35" s="1"/>
  <c r="AF92" i="35"/>
  <c r="AF93" i="35"/>
  <c r="Q64" i="35"/>
  <c r="Q65" i="35"/>
  <c r="V65" i="35" s="1"/>
  <c r="V66" i="35"/>
  <c r="Q82" i="35"/>
  <c r="S82" i="35" s="1"/>
  <c r="Q146" i="35"/>
  <c r="V146" i="35" s="1"/>
  <c r="Q111" i="35"/>
  <c r="S111" i="35" s="1"/>
  <c r="Q28" i="35"/>
  <c r="Q57" i="35"/>
  <c r="Q86" i="35"/>
  <c r="Q100" i="35"/>
  <c r="S100" i="35" s="1"/>
  <c r="Q137" i="35"/>
  <c r="V137" i="35" s="1"/>
  <c r="Q19" i="35"/>
  <c r="Q149" i="35"/>
  <c r="S149" i="35" s="1"/>
  <c r="Q52" i="35"/>
  <c r="Q150" i="35"/>
  <c r="S150" i="35" s="1"/>
  <c r="Q139" i="35"/>
  <c r="V139" i="35" s="1"/>
  <c r="Q140" i="35"/>
  <c r="V140" i="35" s="1"/>
  <c r="Q141" i="35"/>
  <c r="V141" i="35" s="1"/>
  <c r="Q142" i="35"/>
  <c r="S142" i="35" s="1"/>
  <c r="Q101" i="35"/>
  <c r="S101" i="35" s="1"/>
  <c r="Q13" i="35"/>
  <c r="Q14" i="35"/>
  <c r="Q51" i="35"/>
  <c r="S51" i="35" s="1"/>
  <c r="Q79" i="35"/>
  <c r="V79" i="35" s="1"/>
  <c r="Q87" i="35"/>
  <c r="Q88" i="35"/>
  <c r="Q89" i="35"/>
  <c r="Q42" i="35"/>
  <c r="Q43" i="35"/>
  <c r="V43" i="35" s="1"/>
  <c r="Q147" i="35"/>
  <c r="V147" i="35" s="1"/>
  <c r="Q56" i="35"/>
  <c r="S56" i="35" s="1"/>
  <c r="Q96" i="35"/>
  <c r="Q55" i="35"/>
  <c r="S55" i="35" s="1"/>
  <c r="Q158" i="35"/>
  <c r="S158" i="35" s="1"/>
  <c r="Q21" i="35"/>
  <c r="S21" i="35" s="1"/>
  <c r="Q121" i="35"/>
  <c r="S121" i="35" s="1"/>
  <c r="Q109" i="35"/>
  <c r="S109" i="35" s="1"/>
  <c r="Q77" i="35"/>
  <c r="S77" i="35" s="1"/>
  <c r="Q27" i="35"/>
  <c r="Q119" i="35"/>
  <c r="V119" i="35" s="1"/>
  <c r="Q20" i="35"/>
  <c r="V20" i="35" s="1"/>
  <c r="AF86" i="35"/>
  <c r="Q22" i="35"/>
  <c r="S22" i="35" s="1"/>
  <c r="Q122" i="35"/>
  <c r="Q23" i="35"/>
  <c r="Q24" i="35"/>
  <c r="V24" i="35" s="1"/>
  <c r="Q78" i="35"/>
  <c r="Q45" i="35"/>
  <c r="S45" i="35" s="1"/>
  <c r="Q30" i="35"/>
  <c r="Q12" i="35"/>
  <c r="V12" i="35" s="1"/>
  <c r="Q127" i="35"/>
  <c r="S127" i="35" s="1"/>
  <c r="Q144" i="35"/>
  <c r="S144" i="35" s="1"/>
  <c r="Q160" i="35"/>
  <c r="S160" i="35" s="1"/>
  <c r="AF149" i="35"/>
  <c r="Q68" i="35"/>
  <c r="AF71" i="35"/>
  <c r="Q76" i="35"/>
  <c r="Q128" i="35"/>
  <c r="S128" i="35" s="1"/>
  <c r="Q94" i="35"/>
  <c r="Q135" i="35"/>
  <c r="V135" i="35" s="1"/>
  <c r="Q152" i="35"/>
  <c r="S152" i="35" s="1"/>
  <c r="Q72" i="35"/>
  <c r="S72" i="35" s="1"/>
  <c r="Q116" i="35"/>
  <c r="S116" i="35" s="1"/>
  <c r="Q131" i="35"/>
  <c r="S131" i="35" s="1"/>
  <c r="Q132" i="35"/>
  <c r="S132" i="35" s="1"/>
  <c r="Q133" i="35"/>
  <c r="V133" i="35" s="1"/>
  <c r="Q134" i="35"/>
  <c r="V134" i="35" s="1"/>
  <c r="Q138" i="35"/>
  <c r="V138" i="35" s="1"/>
  <c r="Q155" i="35"/>
  <c r="V155" i="35" s="1"/>
  <c r="Q157" i="35"/>
  <c r="V157" i="35" s="1"/>
  <c r="V71" i="35"/>
  <c r="S71" i="35"/>
  <c r="AF33" i="35"/>
  <c r="S115" i="35"/>
  <c r="AF115" i="35"/>
  <c r="S92" i="35"/>
  <c r="AF44" i="35"/>
  <c r="Q11" i="35"/>
  <c r="S11" i="35" s="1"/>
  <c r="Q75" i="35"/>
  <c r="Q136" i="35"/>
  <c r="V136" i="35" s="1"/>
  <c r="AF137" i="35"/>
  <c r="Q153" i="35"/>
  <c r="Q126" i="35"/>
  <c r="AF18" i="35"/>
  <c r="AF19" i="35"/>
  <c r="Q16" i="35"/>
  <c r="S16" i="35" s="1"/>
  <c r="Q37" i="35"/>
  <c r="Q125" i="35"/>
  <c r="Q102" i="35"/>
  <c r="S102" i="35" s="1"/>
  <c r="Q103" i="35"/>
  <c r="AF118" i="35"/>
  <c r="Q118" i="35"/>
  <c r="Q113" i="35"/>
  <c r="V113" i="35" s="1"/>
  <c r="Q114" i="35"/>
  <c r="S114" i="35" s="1"/>
  <c r="Q159" i="35"/>
  <c r="Q110" i="35"/>
  <c r="S110" i="35" s="1"/>
  <c r="Q15" i="35"/>
  <c r="Q50" i="35"/>
  <c r="S50" i="35" s="1"/>
  <c r="Q60" i="35"/>
  <c r="Q83" i="35"/>
  <c r="Q58" i="35"/>
  <c r="Q59" i="35"/>
  <c r="Q31" i="35"/>
  <c r="Q124" i="35"/>
  <c r="Q48" i="35"/>
  <c r="Q145" i="35"/>
  <c r="AF52" i="35"/>
  <c r="AF84" i="35"/>
  <c r="AC163" i="35"/>
  <c r="Q129" i="35"/>
  <c r="V129" i="35" s="1"/>
  <c r="Q90" i="35"/>
  <c r="Q70" i="35"/>
  <c r="S70" i="35" s="1"/>
  <c r="Q49" i="35"/>
  <c r="Q120" i="35"/>
  <c r="Q105" i="35"/>
  <c r="V105" i="35" s="1"/>
  <c r="Q108" i="35"/>
  <c r="Q161" i="35"/>
  <c r="V18" i="35"/>
  <c r="AD163" i="35"/>
  <c r="S44" i="35"/>
  <c r="AE163" i="35"/>
  <c r="V93" i="35"/>
  <c r="AF53" i="35"/>
  <c r="Q53" i="35"/>
  <c r="V84" i="35"/>
  <c r="AF80" i="35"/>
  <c r="Q80" i="35"/>
  <c r="Q73" i="35"/>
  <c r="Q104" i="35"/>
  <c r="Q154" i="35"/>
  <c r="Q74" i="35"/>
  <c r="Q47" i="35"/>
  <c r="X163" i="35"/>
  <c r="Q54" i="35"/>
  <c r="Q95" i="35"/>
  <c r="Q85" i="35"/>
  <c r="Q29" i="35"/>
  <c r="Q112" i="35"/>
  <c r="Q143" i="35"/>
  <c r="S18" i="35"/>
  <c r="Q32" i="35"/>
  <c r="Q81" i="35"/>
  <c r="Q69" i="35"/>
  <c r="S33" i="35"/>
  <c r="W163" i="35"/>
  <c r="Y163" i="35"/>
  <c r="Q26" i="35"/>
  <c r="AF123" i="35"/>
  <c r="Q123" i="35"/>
  <c r="Q162" i="35"/>
  <c r="S162" i="35" s="1"/>
  <c r="Q17" i="35"/>
  <c r="Q91" i="35"/>
  <c r="Q61" i="35"/>
  <c r="AF117" i="35"/>
  <c r="Q117" i="35"/>
  <c r="Q36" i="35"/>
  <c r="Q46" i="35"/>
  <c r="Q151" i="35"/>
  <c r="S151" i="35" s="1"/>
  <c r="V62" i="35" l="1"/>
  <c r="V156" i="35"/>
  <c r="V67" i="35"/>
  <c r="S67" i="35"/>
  <c r="S86" i="35"/>
  <c r="V41" i="35"/>
  <c r="S41" i="35"/>
  <c r="S79" i="35"/>
  <c r="V121" i="35"/>
  <c r="S64" i="35"/>
  <c r="V64" i="35"/>
  <c r="S65" i="35"/>
  <c r="V82" i="35"/>
  <c r="S66" i="35"/>
  <c r="V125" i="35"/>
  <c r="S28" i="35"/>
  <c r="S141" i="35"/>
  <c r="V28" i="35"/>
  <c r="S57" i="35"/>
  <c r="S146" i="35"/>
  <c r="S140" i="35"/>
  <c r="V57" i="35"/>
  <c r="S137" i="35"/>
  <c r="S139" i="35"/>
  <c r="V111" i="35"/>
  <c r="V19" i="35"/>
  <c r="S147" i="35"/>
  <c r="V86" i="35"/>
  <c r="V101" i="35"/>
  <c r="V132" i="35"/>
  <c r="S19" i="35"/>
  <c r="V16" i="35"/>
  <c r="S13" i="35"/>
  <c r="S14" i="35"/>
  <c r="V14" i="35"/>
  <c r="V149" i="35"/>
  <c r="S52" i="35"/>
  <c r="V52" i="35"/>
  <c r="V51" i="35"/>
  <c r="V13" i="35"/>
  <c r="S68" i="35"/>
  <c r="V142" i="35"/>
  <c r="S78" i="35"/>
  <c r="S12" i="35"/>
  <c r="V87" i="35"/>
  <c r="V55" i="35"/>
  <c r="V56" i="35"/>
  <c r="V96" i="35"/>
  <c r="V30" i="35"/>
  <c r="S96" i="35"/>
  <c r="V116" i="35"/>
  <c r="S43" i="35"/>
  <c r="S87" i="35"/>
  <c r="S23" i="35"/>
  <c r="S42" i="35"/>
  <c r="V42" i="35"/>
  <c r="V68" i="35"/>
  <c r="V78" i="35"/>
  <c r="V158" i="35"/>
  <c r="V83" i="35"/>
  <c r="S27" i="35"/>
  <c r="S88" i="35"/>
  <c r="S89" i="35"/>
  <c r="V27" i="35"/>
  <c r="S20" i="35"/>
  <c r="V88" i="35"/>
  <c r="V89" i="35"/>
  <c r="S122" i="35"/>
  <c r="V21" i="35"/>
  <c r="V45" i="35"/>
  <c r="V22" i="35"/>
  <c r="S119" i="35"/>
  <c r="S24" i="35"/>
  <c r="V77" i="35"/>
  <c r="S157" i="35"/>
  <c r="V11" i="35"/>
  <c r="V109" i="35"/>
  <c r="V131" i="35"/>
  <c r="V72" i="35"/>
  <c r="S83" i="35"/>
  <c r="V23" i="35"/>
  <c r="V144" i="35"/>
  <c r="V50" i="35"/>
  <c r="V160" i="35"/>
  <c r="V94" i="35"/>
  <c r="S30" i="35"/>
  <c r="S155" i="35"/>
  <c r="S76" i="35"/>
  <c r="V122" i="35"/>
  <c r="V152" i="35"/>
  <c r="S94" i="35"/>
  <c r="V127" i="35"/>
  <c r="V90" i="35"/>
  <c r="S134" i="35"/>
  <c r="V128" i="35"/>
  <c r="V114" i="35"/>
  <c r="S133" i="35"/>
  <c r="V76" i="35"/>
  <c r="V102" i="35"/>
  <c r="S135" i="35"/>
  <c r="S138" i="35"/>
  <c r="S136" i="35"/>
  <c r="S58" i="35"/>
  <c r="V110" i="35"/>
  <c r="V58" i="35"/>
  <c r="S129" i="35"/>
  <c r="S145" i="35"/>
  <c r="V145" i="35"/>
  <c r="V15" i="35"/>
  <c r="S15" i="35"/>
  <c r="S108" i="35"/>
  <c r="V108" i="35"/>
  <c r="S31" i="35"/>
  <c r="V31" i="35"/>
  <c r="S118" i="35"/>
  <c r="V118" i="35"/>
  <c r="V37" i="35"/>
  <c r="S37" i="35"/>
  <c r="V126" i="35"/>
  <c r="S126" i="35"/>
  <c r="S113" i="35"/>
  <c r="S120" i="35"/>
  <c r="V120" i="35"/>
  <c r="S159" i="35"/>
  <c r="V159" i="35"/>
  <c r="S103" i="35"/>
  <c r="V103" i="35"/>
  <c r="S153" i="35"/>
  <c r="V153" i="35"/>
  <c r="V70" i="35"/>
  <c r="S90" i="35"/>
  <c r="S48" i="35"/>
  <c r="S49" i="35"/>
  <c r="V49" i="35"/>
  <c r="S105" i="35"/>
  <c r="V48" i="35"/>
  <c r="S59" i="35"/>
  <c r="S124" i="35"/>
  <c r="V124" i="35"/>
  <c r="V59" i="35"/>
  <c r="V60" i="35"/>
  <c r="S60" i="35"/>
  <c r="S75" i="35"/>
  <c r="V75" i="35"/>
  <c r="AF163" i="35"/>
  <c r="S161" i="35"/>
  <c r="V161" i="35"/>
  <c r="V61" i="35"/>
  <c r="S61" i="35"/>
  <c r="V53" i="35"/>
  <c r="S53" i="35"/>
  <c r="V154" i="35"/>
  <c r="S154" i="35"/>
  <c r="V80" i="35"/>
  <c r="S80" i="35"/>
  <c r="V17" i="35"/>
  <c r="S17" i="35"/>
  <c r="V32" i="35"/>
  <c r="S32" i="35"/>
  <c r="V46" i="35"/>
  <c r="S46" i="35"/>
  <c r="V123" i="35"/>
  <c r="S123" i="35"/>
  <c r="V36" i="35"/>
  <c r="S36" i="35"/>
  <c r="V69" i="35"/>
  <c r="S69" i="35"/>
  <c r="V143" i="35"/>
  <c r="S143" i="35"/>
  <c r="V85" i="35"/>
  <c r="S85" i="35"/>
  <c r="V47" i="35"/>
  <c r="S47" i="35"/>
  <c r="V26" i="35"/>
  <c r="S26" i="35"/>
  <c r="V112" i="35"/>
  <c r="S112" i="35"/>
  <c r="V117" i="35"/>
  <c r="S117" i="35"/>
  <c r="V104" i="35"/>
  <c r="S104" i="35"/>
  <c r="S54" i="35"/>
  <c r="V54" i="35"/>
  <c r="V73" i="35"/>
  <c r="S73" i="35"/>
  <c r="V91" i="35"/>
  <c r="S91" i="35"/>
  <c r="V81" i="35"/>
  <c r="S81" i="35"/>
  <c r="V29" i="35"/>
  <c r="S29" i="35"/>
  <c r="V95" i="35"/>
  <c r="S95" i="35"/>
  <c r="V74" i="35"/>
  <c r="S74" i="35"/>
  <c r="D10" i="18"/>
  <c r="C10" i="18"/>
  <c r="S163" i="35" l="1"/>
  <c r="D9" i="18" l="1"/>
  <c r="C9" i="18"/>
  <c r="E14" i="18" l="1"/>
  <c r="E13" i="18"/>
  <c r="E12" i="18"/>
  <c r="E11" i="18"/>
  <c r="E10" i="18"/>
  <c r="E9" i="18"/>
  <c r="E8" i="18"/>
  <c r="E7" i="18"/>
  <c r="E6" i="18"/>
  <c r="D15" i="18"/>
  <c r="C15" i="18"/>
  <c r="E15" i="18" l="1"/>
</calcChain>
</file>

<file path=xl/sharedStrings.xml><?xml version="1.0" encoding="utf-8"?>
<sst xmlns="http://schemas.openxmlformats.org/spreadsheetml/2006/main" count="1708" uniqueCount="371">
  <si>
    <t>STOCK NO.</t>
  </si>
  <si>
    <t>Scouring Pad/ Sponge</t>
  </si>
  <si>
    <t>Toilet Bowl &amp; Urinal Cleaner</t>
  </si>
  <si>
    <t>OFFICE SUPPLIES</t>
  </si>
  <si>
    <t>Paper clip 50mm</t>
  </si>
  <si>
    <t>Paper clip 33mm</t>
  </si>
  <si>
    <t>Thumbtacks</t>
  </si>
  <si>
    <t>Cutter knife</t>
  </si>
  <si>
    <t>Cutter blade</t>
  </si>
  <si>
    <t>Staple wire, #10</t>
  </si>
  <si>
    <t xml:space="preserve"> </t>
  </si>
  <si>
    <t>Column1</t>
  </si>
  <si>
    <t>DEPARTMENT OF EDUCATION</t>
  </si>
  <si>
    <t>Buac, Cayang, Bogo City, Cebu</t>
  </si>
  <si>
    <t>REGION VII, CENTRAL VISAYAS</t>
  </si>
  <si>
    <t>REPUBLIC OF THE PHILIPPINES</t>
  </si>
  <si>
    <t>UNIT COST</t>
  </si>
  <si>
    <t>pcs</t>
  </si>
  <si>
    <t>box</t>
  </si>
  <si>
    <t>pack</t>
  </si>
  <si>
    <t>btl</t>
  </si>
  <si>
    <t>ream</t>
  </si>
  <si>
    <t>roll</t>
  </si>
  <si>
    <t>TOTAL</t>
  </si>
  <si>
    <t>Prepared by:</t>
  </si>
  <si>
    <t>Noted by:</t>
  </si>
  <si>
    <t>Approved by:</t>
  </si>
  <si>
    <t>Schools Division Superintendent</t>
  </si>
  <si>
    <t>LEAH P. NOVERAS, Ed.D, CESO VI</t>
  </si>
  <si>
    <t>ADOF IV</t>
  </si>
  <si>
    <t>INGRID B. CLEMENTE</t>
  </si>
  <si>
    <t>buffer</t>
  </si>
  <si>
    <t xml:space="preserve">PREVIOUS MONTH BALANCE </t>
  </si>
  <si>
    <t>ISSUANCE FOR THE MONTH</t>
  </si>
  <si>
    <t>UNIT</t>
  </si>
  <si>
    <t>RECORDING</t>
  </si>
  <si>
    <t>SC</t>
  </si>
  <si>
    <t>SEPC</t>
  </si>
  <si>
    <t>BALANCE FOR THE MONTH</t>
  </si>
  <si>
    <t>ACQUISITION FOR THE MONTH</t>
  </si>
  <si>
    <t>Binder clip, 3/4, 19 mm</t>
  </si>
  <si>
    <t>box/dz</t>
  </si>
  <si>
    <t>Photopaper A4, 180gsm</t>
  </si>
  <si>
    <t>Photopaper A4, 210 gsm</t>
  </si>
  <si>
    <t>Detergent powder, 50-60G</t>
  </si>
  <si>
    <t>OTHER SUPPLIES</t>
  </si>
  <si>
    <t>TOTAL COST OF ISSUANCE</t>
  </si>
  <si>
    <t>APR</t>
  </si>
  <si>
    <t>MAY</t>
  </si>
  <si>
    <t>JUNE</t>
  </si>
  <si>
    <t>JUL</t>
  </si>
  <si>
    <t>AUG</t>
  </si>
  <si>
    <t>SEP</t>
  </si>
  <si>
    <t>OCT</t>
  </si>
  <si>
    <t>NOV</t>
  </si>
  <si>
    <t>DEC</t>
  </si>
  <si>
    <t>sachet</t>
  </si>
  <si>
    <t>TOTAL COST (BALANCE)</t>
  </si>
  <si>
    <t>ACTUAL COUNT BALANCE</t>
  </si>
  <si>
    <t>REPORT OF SUPPLIES AND MATERIALS (RSMI)</t>
  </si>
  <si>
    <t>RSMI COST</t>
  </si>
  <si>
    <t>ATTY. PHILIP M. CONDOR</t>
  </si>
  <si>
    <t>ADOF V</t>
  </si>
  <si>
    <t>AS OF JANUARY 31, 2026</t>
  </si>
  <si>
    <t>Binder clip, 2", 51mm</t>
  </si>
  <si>
    <t>Binder clip, 1.25", 32mm</t>
  </si>
  <si>
    <t>Photopaper A4, 90gsm</t>
  </si>
  <si>
    <t>Gun tacker, 12mm 1/2 T50, 1000pcs</t>
  </si>
  <si>
    <t>Gun tacker, HD 12mm 1/2 T50</t>
  </si>
  <si>
    <t>155-0011-1</t>
  </si>
  <si>
    <t>155-0011-2</t>
  </si>
  <si>
    <t>155-0012-1</t>
  </si>
  <si>
    <t>155-0015-2</t>
  </si>
  <si>
    <t>155-0041-1</t>
  </si>
  <si>
    <t>155-0042-1</t>
  </si>
  <si>
    <t>155-0042-2</t>
  </si>
  <si>
    <t>155-0043-1</t>
  </si>
  <si>
    <t>155-0044-1</t>
  </si>
  <si>
    <t>155-0044-2</t>
  </si>
  <si>
    <t>155-0031-1</t>
  </si>
  <si>
    <t>155-0031-2</t>
  </si>
  <si>
    <t>155-0031-3</t>
  </si>
  <si>
    <t>155-0032-1</t>
  </si>
  <si>
    <t>155-0032-2</t>
  </si>
  <si>
    <t>155-0033-1</t>
  </si>
  <si>
    <t>155-0033-2</t>
  </si>
  <si>
    <t>155-0034-1</t>
  </si>
  <si>
    <t>155-0035-1</t>
  </si>
  <si>
    <t>155-0036-1</t>
  </si>
  <si>
    <t>155-0037-1</t>
  </si>
  <si>
    <t>155-0038-1</t>
  </si>
  <si>
    <t>155-0039-1</t>
  </si>
  <si>
    <t>ClipBinder clip, 2", 51mm</t>
  </si>
  <si>
    <t>ClipBinder clip, 1.25", 32mm</t>
  </si>
  <si>
    <t>ClipBinder clip, 3/4, 19 mm</t>
  </si>
  <si>
    <t>ClipPaper clip 50mm</t>
  </si>
  <si>
    <t>ClipPaper clip 33mm</t>
  </si>
  <si>
    <t>Glue, 130gMultipurpose, bottle</t>
  </si>
  <si>
    <t>Glue, bigGluestick, hotmelt</t>
  </si>
  <si>
    <t>Glue, bigGlue gun</t>
  </si>
  <si>
    <t>Note PadStick on, 3x3</t>
  </si>
  <si>
    <t>Note PadStick on, 2x3</t>
  </si>
  <si>
    <t>Record Book500 pages</t>
  </si>
  <si>
    <t>Record Book300 pages</t>
  </si>
  <si>
    <t>Laminating FilmMLF-LEG250 222*337*350</t>
  </si>
  <si>
    <t>PVC SHTS FOR ID A450PCS/BOX</t>
  </si>
  <si>
    <t/>
  </si>
  <si>
    <t>BatterySize AA</t>
  </si>
  <si>
    <t>BatterySize AAA</t>
  </si>
  <si>
    <t>BulbLED 18w</t>
  </si>
  <si>
    <t>BulbLed 9 w</t>
  </si>
  <si>
    <t>Muriatic AcidMuriatic Acid</t>
  </si>
  <si>
    <t>Fabric ConditionerFabric Conditioner</t>
  </si>
  <si>
    <t>ITEM/ DESCRIPTION</t>
  </si>
  <si>
    <t>155-0012-2</t>
  </si>
  <si>
    <t>Ballpen, Black/Blue</t>
  </si>
  <si>
    <t>Gelpen,  Black</t>
  </si>
  <si>
    <t>Gelpen,  Red</t>
  </si>
  <si>
    <t>Gelpen,  Green</t>
  </si>
  <si>
    <t>Gelpen, Violet</t>
  </si>
  <si>
    <t>Sign pen, Black</t>
  </si>
  <si>
    <t>Sign pen, Blue</t>
  </si>
  <si>
    <t>Sign pen, Red</t>
  </si>
  <si>
    <t>Sign pen, Green</t>
  </si>
  <si>
    <t>Sign pen, Violet</t>
  </si>
  <si>
    <t>Sign pen, Black, refill</t>
  </si>
  <si>
    <t>Sign pen, Blue, refill</t>
  </si>
  <si>
    <t>Sign pen,, Red refill</t>
  </si>
  <si>
    <t>Sign pen,, Green, refill</t>
  </si>
  <si>
    <t>Marking Pen, Permanent, Blue</t>
  </si>
  <si>
    <t>Marking Pen,Permanent, Black</t>
  </si>
  <si>
    <t>Marking Pen, Highlighter</t>
  </si>
  <si>
    <t>Bondpaper, 70gsm, legal</t>
  </si>
  <si>
    <t>Bondpaper, 70gsm, letter</t>
  </si>
  <si>
    <t>Bondpaper, 70gsm, A4</t>
  </si>
  <si>
    <t>Vellum Board, 180gsm, Long</t>
  </si>
  <si>
    <t>Vellum Board, 180gsm, Short</t>
  </si>
  <si>
    <t>Vellum Board, 210gsm, Long</t>
  </si>
  <si>
    <t>Vellum Board, 210gsm, Short</t>
  </si>
  <si>
    <t xml:space="preserve"> Specialty Paper, 90gsm, long</t>
  </si>
  <si>
    <t xml:space="preserve"> Specialty Paper, 90gsm, short</t>
  </si>
  <si>
    <t xml:space="preserve"> Specialty Paper, 180gsm, long</t>
  </si>
  <si>
    <t>pack/10s</t>
  </si>
  <si>
    <t>pack/20 s</t>
  </si>
  <si>
    <t>Stapler #35</t>
  </si>
  <si>
    <t>Stapler #10</t>
  </si>
  <si>
    <t>Staple Remover, plier style</t>
  </si>
  <si>
    <t>Staple wire, #35</t>
  </si>
  <si>
    <t>155-0013-1</t>
  </si>
  <si>
    <t>155-0012-3</t>
  </si>
  <si>
    <t>155-0012-4</t>
  </si>
  <si>
    <t>Ballpen, Red</t>
  </si>
  <si>
    <t>155-0013-2</t>
  </si>
  <si>
    <t>155-0013-3</t>
  </si>
  <si>
    <t>155-0013-4</t>
  </si>
  <si>
    <t>155-0013-5</t>
  </si>
  <si>
    <t>155-0014-1</t>
  </si>
  <si>
    <t>155-0014-2</t>
  </si>
  <si>
    <t>155-0014-3</t>
  </si>
  <si>
    <t>155-0014-4</t>
  </si>
  <si>
    <t>155-0015-1</t>
  </si>
  <si>
    <t>155-0015-3</t>
  </si>
  <si>
    <t>155-0021-1</t>
  </si>
  <si>
    <t>155-0022-2</t>
  </si>
  <si>
    <t>155-0021-2</t>
  </si>
  <si>
    <t>155-0021-3</t>
  </si>
  <si>
    <t>155-0022-1</t>
  </si>
  <si>
    <t>155-0022-3</t>
  </si>
  <si>
    <t>155-0022-4</t>
  </si>
  <si>
    <t>155-0023-1</t>
  </si>
  <si>
    <t>155-0023-2</t>
  </si>
  <si>
    <t>155-0023-3</t>
  </si>
  <si>
    <t>155-0023-4</t>
  </si>
  <si>
    <t>155-0024-1</t>
  </si>
  <si>
    <t>155-0024-2</t>
  </si>
  <si>
    <t>155-0024-3</t>
  </si>
  <si>
    <t>155-0025-1</t>
  </si>
  <si>
    <t>155-0025-2</t>
  </si>
  <si>
    <t>155-0026-1</t>
  </si>
  <si>
    <t>155-0026-2</t>
  </si>
  <si>
    <t>155-0027-1</t>
  </si>
  <si>
    <t>155-0028-1</t>
  </si>
  <si>
    <t>155-0035-2</t>
  </si>
  <si>
    <t>155-0037-2</t>
  </si>
  <si>
    <t>155-0037-3</t>
  </si>
  <si>
    <t>155-0037-4</t>
  </si>
  <si>
    <t>155-0037-5</t>
  </si>
  <si>
    <t>155-0037-6</t>
  </si>
  <si>
    <t>155-0037-7</t>
  </si>
  <si>
    <t>155-0038-2</t>
  </si>
  <si>
    <t>155-0038-3</t>
  </si>
  <si>
    <t>155-0038-4</t>
  </si>
  <si>
    <t>155-0038-5</t>
  </si>
  <si>
    <t>155-0038-6</t>
  </si>
  <si>
    <t>Tape Packaging, brown, 2", 48mm</t>
  </si>
  <si>
    <t>Tape Masking, 1/2", 12mm</t>
  </si>
  <si>
    <t>Tape Masking, 1", 24mm</t>
  </si>
  <si>
    <t>Tape Masking, 2", 48mm</t>
  </si>
  <si>
    <t>Tape Scotch tape 1", 24mm</t>
  </si>
  <si>
    <t>Tape Scotch tape 2", 48mm</t>
  </si>
  <si>
    <t>Tape Double sided 1"</t>
  </si>
  <si>
    <t>Tape Double sided 1/2"</t>
  </si>
  <si>
    <t>Tape Duck tape</t>
  </si>
  <si>
    <t>155-0038-7</t>
  </si>
  <si>
    <t>155-0038-8</t>
  </si>
  <si>
    <t>155-0038-9</t>
  </si>
  <si>
    <t>155-0041-2</t>
  </si>
  <si>
    <t>155-0041-3</t>
  </si>
  <si>
    <t>155-0041-4</t>
  </si>
  <si>
    <t>155-0041-5</t>
  </si>
  <si>
    <t>155-0041-6</t>
  </si>
  <si>
    <t>155-0041-7</t>
  </si>
  <si>
    <t>155-0041-8</t>
  </si>
  <si>
    <t>155-0042-3</t>
  </si>
  <si>
    <t>155-0042-4</t>
  </si>
  <si>
    <t>155-0042-5</t>
  </si>
  <si>
    <t>155-0042-6</t>
  </si>
  <si>
    <t>155-0042-7</t>
  </si>
  <si>
    <t>155-0042-8</t>
  </si>
  <si>
    <t>155-0042-9</t>
  </si>
  <si>
    <t>Envelope Kraft/ Brown, long</t>
  </si>
  <si>
    <t>Envelope Kraft/ Brown, short</t>
  </si>
  <si>
    <t>Envelope Expanded, kraft/brown, long</t>
  </si>
  <si>
    <t>Envelope Letter, white, long</t>
  </si>
  <si>
    <t>Envelope Letter, white, short</t>
  </si>
  <si>
    <t>Envelope Plastic, with handle, long</t>
  </si>
  <si>
    <t xml:space="preserve">Envelope Plastic, zip, long </t>
  </si>
  <si>
    <t>Envelope Plastic, expandable, clear, long</t>
  </si>
  <si>
    <t>Folder Long. Yellow</t>
  </si>
  <si>
    <t>Folder Legal/ white</t>
  </si>
  <si>
    <t>Folder Long. Green</t>
  </si>
  <si>
    <t>Folder Letter/ white</t>
  </si>
  <si>
    <t>Folder Long. Blue</t>
  </si>
  <si>
    <t>Folder Long. Red</t>
  </si>
  <si>
    <t>Folder Expanded, long, green</t>
  </si>
  <si>
    <t>Folder Expanded, long, brown</t>
  </si>
  <si>
    <t>Folder Expanded, long, blue</t>
  </si>
  <si>
    <t>Carton box/kraft storage, colored, 9.5*10*15</t>
  </si>
  <si>
    <t>Data File Box, with cover, long</t>
  </si>
  <si>
    <t>Ink Epson, T6641 black</t>
  </si>
  <si>
    <t>Ink Epson, T6642 cyan</t>
  </si>
  <si>
    <t>Ink Epson, T6643 magenta</t>
  </si>
  <si>
    <t>Ink Epson, T9481 black</t>
  </si>
  <si>
    <t>Ink Epson, T9482 cyan</t>
  </si>
  <si>
    <t>Ink Epson, T9483 magenta</t>
  </si>
  <si>
    <t>Ink Epson, T9484 yellow</t>
  </si>
  <si>
    <t>155-0051-1</t>
  </si>
  <si>
    <t>155-0051-2</t>
  </si>
  <si>
    <t>155-0051-3</t>
  </si>
  <si>
    <t>155-0051-4</t>
  </si>
  <si>
    <t>155-0052-1</t>
  </si>
  <si>
    <t>155-0052-2</t>
  </si>
  <si>
    <t>155-0052-3</t>
  </si>
  <si>
    <t>155-0052-4</t>
  </si>
  <si>
    <t>Ink Epson, T6644 yellow</t>
  </si>
  <si>
    <t>Ink EPSON, 057 BLACK 70ML</t>
  </si>
  <si>
    <t>Ink EPSON, 057 CYAN 70ML</t>
  </si>
  <si>
    <t>Ink EPSON, 057 YELLOW 70ML</t>
  </si>
  <si>
    <t>Ink EPSON, 057 MAGENTA 70ML</t>
  </si>
  <si>
    <t>Ink Epson, 003 black</t>
  </si>
  <si>
    <t>Ink Epson, 003 cyan</t>
  </si>
  <si>
    <t>Ink Epson, 003 magenta</t>
  </si>
  <si>
    <t>Ink Epson, 003 yellow</t>
  </si>
  <si>
    <t>Ink Epson, 001 black</t>
  </si>
  <si>
    <t>Ink Epson, 001 cyan</t>
  </si>
  <si>
    <t>Ink Epson, 001 magenta</t>
  </si>
  <si>
    <t>Ink Epson, 001 yellow</t>
  </si>
  <si>
    <t>Ink Brother, D60 black</t>
  </si>
  <si>
    <t>Ink Brother, 5000 cyan</t>
  </si>
  <si>
    <t>Ink Brother, 5000 magenta</t>
  </si>
  <si>
    <t>Ink Brother, 5000 yellow</t>
  </si>
  <si>
    <t>155-0053-1</t>
  </si>
  <si>
    <t>155-0053-2</t>
  </si>
  <si>
    <t>155-0053-3</t>
  </si>
  <si>
    <t>155-0053-4</t>
  </si>
  <si>
    <t>155-0054-1</t>
  </si>
  <si>
    <t>155-0054-2</t>
  </si>
  <si>
    <t>155-0054-3</t>
  </si>
  <si>
    <t>155-0054-4</t>
  </si>
  <si>
    <t>155-0055-1</t>
  </si>
  <si>
    <t>155-0055-2</t>
  </si>
  <si>
    <t>155-0055-3</t>
  </si>
  <si>
    <t>155-0055-4</t>
  </si>
  <si>
    <t>155-0056-1</t>
  </si>
  <si>
    <t>155-0056-2</t>
  </si>
  <si>
    <t>155-0056-3</t>
  </si>
  <si>
    <t>155-0056-4</t>
  </si>
  <si>
    <t>Correction Tape Refill</t>
  </si>
  <si>
    <t>Correction Tape, non-refillable</t>
  </si>
  <si>
    <t>Scissor 7'</t>
  </si>
  <si>
    <t>155-0071-1</t>
  </si>
  <si>
    <t>155-0061-2</t>
  </si>
  <si>
    <t>155-0061-1</t>
  </si>
  <si>
    <t>155-0081-1</t>
  </si>
  <si>
    <t>155-0081-2</t>
  </si>
  <si>
    <t>155-0081-3</t>
  </si>
  <si>
    <t>155-0091-1</t>
  </si>
  <si>
    <t>155-0101-1</t>
  </si>
  <si>
    <t>155-0111-1</t>
  </si>
  <si>
    <t>165-0011-1</t>
  </si>
  <si>
    <t>165-0011-2</t>
  </si>
  <si>
    <t>165-0021-1</t>
  </si>
  <si>
    <t>165-0021-2</t>
  </si>
  <si>
    <t>165-0031-2</t>
  </si>
  <si>
    <t>165-0031-1</t>
  </si>
  <si>
    <t>Trash bag, small</t>
  </si>
  <si>
    <t>Trash bag, medium</t>
  </si>
  <si>
    <t>Trash bag, large</t>
  </si>
  <si>
    <t>165-0031-3</t>
  </si>
  <si>
    <t>165-0032-1</t>
  </si>
  <si>
    <t>165-0032-2</t>
  </si>
  <si>
    <t>165-0033-1</t>
  </si>
  <si>
    <t>165-0033-2</t>
  </si>
  <si>
    <t xml:space="preserve">Brush, Toilet Bowl </t>
  </si>
  <si>
    <t>Brush, multi-purpose</t>
  </si>
  <si>
    <t>Toilet paper, tissue</t>
  </si>
  <si>
    <t>Rag, Doorstep</t>
  </si>
  <si>
    <t>Rag, Round, small</t>
  </si>
  <si>
    <t>Mop , Heavy Duty, long handle</t>
  </si>
  <si>
    <t>Toilet Deodorizer,  100G</t>
  </si>
  <si>
    <t>Soap Dishwashing liquid, gal</t>
  </si>
  <si>
    <t>Insecticide Spray, 400 ml</t>
  </si>
  <si>
    <t>Furniture Polish 250-330ml</t>
  </si>
  <si>
    <t>Mophead replacement, tornado</t>
  </si>
  <si>
    <t>Bleach</t>
  </si>
  <si>
    <t>gal</t>
  </si>
  <si>
    <t>bot</t>
  </si>
  <si>
    <t>Disinfectant spray, 400ml</t>
  </si>
  <si>
    <t>Alcohol 70% ethyl , 500ml</t>
  </si>
  <si>
    <t>Alcohol 70% ethyl</t>
  </si>
  <si>
    <t>Glass Cleaner, 1 liter</t>
  </si>
  <si>
    <t>155-0034-2</t>
  </si>
  <si>
    <t>155-0034-3</t>
  </si>
  <si>
    <t>155-0034-4</t>
  </si>
  <si>
    <t>155-0035-3</t>
  </si>
  <si>
    <t>155-0035-4</t>
  </si>
  <si>
    <t>155-0035-5</t>
  </si>
  <si>
    <t>155-0035-6</t>
  </si>
  <si>
    <t>155-0036-2</t>
  </si>
  <si>
    <t>155-0036-3</t>
  </si>
  <si>
    <t>155-0039-2</t>
  </si>
  <si>
    <t>155-0039-3</t>
  </si>
  <si>
    <t>Floor Polisher Brush, wilson HD 8 inches</t>
  </si>
  <si>
    <t>155-0040-1</t>
  </si>
  <si>
    <t>155-0040-2</t>
  </si>
  <si>
    <t>155-0040-3</t>
  </si>
  <si>
    <t xml:space="preserve">MONTHLY INVENTORIES AND  SEMI-EXPENDABLE PROPERTY </t>
  </si>
  <si>
    <t>Fastener plastic, long</t>
  </si>
  <si>
    <t>Fastener plastic, regular</t>
  </si>
  <si>
    <t>Calculator, 2 way solar, 12 digits</t>
  </si>
  <si>
    <t>Ruler 12"</t>
  </si>
  <si>
    <t>155-0023-5</t>
  </si>
  <si>
    <t xml:space="preserve"> Specialty Paper, 220gsm, long</t>
  </si>
  <si>
    <t>Broom, Tingting</t>
  </si>
  <si>
    <t>Data File Box, open, long, horizontal</t>
  </si>
  <si>
    <t xml:space="preserve"> Stamp pad, Felt pad #4</t>
  </si>
  <si>
    <t>Philippine flag, 3x6 oxford cloth</t>
  </si>
  <si>
    <t>Broom, Tambo (Lanot) white</t>
  </si>
  <si>
    <t>Floorwax, Paste type, 900g</t>
  </si>
  <si>
    <t>Glue Gun, big</t>
  </si>
  <si>
    <t>Gluestick big, hotmelt</t>
  </si>
  <si>
    <t>Glue,  Multipurpose 130g</t>
  </si>
  <si>
    <t xml:space="preserve"> Specialty Paper, 180gsm, short</t>
  </si>
  <si>
    <t>Record Book 500 pages</t>
  </si>
  <si>
    <t>Record Book 300 pages</t>
  </si>
  <si>
    <t>PVC SHTS FOR ID A4 50PCS/BOX</t>
  </si>
  <si>
    <t xml:space="preserve">Broom, Tambo (Lanot) </t>
  </si>
  <si>
    <t>Note Pad Stick on, 2x3</t>
  </si>
  <si>
    <t>Fabric Conditioner, 26-30ml</t>
  </si>
  <si>
    <t>can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</si>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</sst>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/>
    <xf numFmtId="4" fontId="1" fillId="3" borderId="1" xfId="0" applyNumberFormat="1" applyFont="1" applyFill="1" applyBorder="1" applyAlignment="1">
      <alignment horizontal="center"/>
    </xf>
    <xf numFmtId="0" fontId="1" fillId="3" borderId="0" xfId="0" applyFont="1" applyFill="1"/>
    <xf numFmtId="4" fontId="4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/>
    <xf numFmtId="0" fontId="1" fillId="3" borderId="0" xfId="0" applyFont="1" applyFill="1" applyAlignment="1">
      <alignment horizontal="center"/>
    </xf>
    <xf numFmtId="0" fontId="8" fillId="3" borderId="0" xfId="0" applyFont="1" applyFill="1"/>
    <xf numFmtId="49" fontId="3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2" borderId="4" xfId="0" applyFont="1" applyFill="1" applyBorder="1"/>
    <xf numFmtId="0" fontId="7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2" borderId="1" xfId="0" applyFont="1" applyFill="1" applyBorder="1"/>
    <xf numFmtId="49" fontId="1" fillId="2" borderId="1" xfId="0" applyNumberFormat="1" applyFont="1" applyFill="1" applyBorder="1"/>
    <xf numFmtId="4" fontId="1" fillId="2" borderId="1" xfId="0" applyNumberFormat="1" applyFont="1" applyFill="1" applyBorder="1"/>
    <xf numFmtId="0" fontId="1" fillId="2" borderId="0" xfId="0" applyFont="1" applyFill="1"/>
    <xf numFmtId="43" fontId="1" fillId="2" borderId="0" xfId="0" applyNumberFormat="1" applyFont="1" applyFill="1"/>
    <xf numFmtId="43" fontId="0" fillId="0" borderId="0" xfId="1" applyFont="1"/>
    <xf numFmtId="0" fontId="0" fillId="0" borderId="0" xfId="0" applyAlignment="1">
      <alignment wrapText="1"/>
    </xf>
    <xf numFmtId="0" fontId="3" fillId="4" borderId="0" xfId="0" applyFont="1" applyFill="1"/>
    <xf numFmtId="0" fontId="1" fillId="4" borderId="0" xfId="0" applyFont="1" applyFill="1"/>
    <xf numFmtId="43" fontId="1" fillId="4" borderId="0" xfId="1" applyFont="1" applyFill="1"/>
    <xf numFmtId="0" fontId="1" fillId="5" borderId="0" xfId="0" applyFont="1" applyFill="1" applyAlignment="1">
      <alignment wrapText="1"/>
    </xf>
    <xf numFmtId="0" fontId="1" fillId="5" borderId="0" xfId="0" applyFont="1" applyFill="1"/>
    <xf numFmtId="0" fontId="3" fillId="5" borderId="0" xfId="0" applyFont="1" applyFill="1"/>
    <xf numFmtId="4" fontId="4" fillId="4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4" fontId="1" fillId="4" borderId="0" xfId="0" applyNumberFormat="1" applyFont="1" applyFill="1"/>
    <xf numFmtId="43" fontId="1" fillId="3" borderId="1" xfId="1" applyFont="1" applyFill="1" applyBorder="1"/>
    <xf numFmtId="43" fontId="4" fillId="3" borderId="1" xfId="1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" fillId="5" borderId="1" xfId="0" applyFont="1" applyFill="1" applyBorder="1"/>
    <xf numFmtId="49" fontId="1" fillId="5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4" fontId="1" fillId="5" borderId="1" xfId="0" applyNumberFormat="1" applyFont="1" applyFill="1" applyBorder="1"/>
    <xf numFmtId="4" fontId="1" fillId="5" borderId="1" xfId="0" applyNumberFormat="1" applyFont="1" applyFill="1" applyBorder="1" applyAlignment="1">
      <alignment horizontal="center"/>
    </xf>
    <xf numFmtId="43" fontId="1" fillId="5" borderId="1" xfId="1" applyFont="1" applyFill="1" applyBorder="1"/>
    <xf numFmtId="43" fontId="1" fillId="5" borderId="0" xfId="1" applyFont="1" applyFill="1"/>
    <xf numFmtId="16" fontId="1" fillId="5" borderId="0" xfId="0" applyNumberFormat="1" applyFont="1" applyFill="1"/>
    <xf numFmtId="0" fontId="1" fillId="6" borderId="1" xfId="0" applyFont="1" applyFill="1" applyBorder="1"/>
    <xf numFmtId="49" fontId="1" fillId="6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4" fontId="1" fillId="6" borderId="1" xfId="0" applyNumberFormat="1" applyFont="1" applyFill="1" applyBorder="1"/>
    <xf numFmtId="4" fontId="1" fillId="6" borderId="1" xfId="0" applyNumberFormat="1" applyFont="1" applyFill="1" applyBorder="1" applyAlignment="1">
      <alignment horizontal="center"/>
    </xf>
    <xf numFmtId="0" fontId="1" fillId="6" borderId="0" xfId="0" applyFont="1" applyFill="1"/>
    <xf numFmtId="43" fontId="1" fillId="6" borderId="1" xfId="1" applyFont="1" applyFill="1" applyBorder="1"/>
    <xf numFmtId="0" fontId="1" fillId="7" borderId="1" xfId="0" applyFont="1" applyFill="1" applyBorder="1"/>
    <xf numFmtId="49" fontId="1" fillId="7" borderId="1" xfId="0" applyNumberFormat="1" applyFont="1" applyFill="1" applyBorder="1"/>
    <xf numFmtId="0" fontId="1" fillId="7" borderId="1" xfId="0" applyFont="1" applyFill="1" applyBorder="1" applyAlignment="1">
      <alignment horizontal="center"/>
    </xf>
    <xf numFmtId="4" fontId="1" fillId="7" borderId="1" xfId="0" applyNumberFormat="1" applyFont="1" applyFill="1" applyBorder="1"/>
    <xf numFmtId="4" fontId="1" fillId="7" borderId="1" xfId="0" applyNumberFormat="1" applyFont="1" applyFill="1" applyBorder="1" applyAlignment="1">
      <alignment horizontal="center"/>
    </xf>
    <xf numFmtId="0" fontId="1" fillId="7" borderId="0" xfId="0" applyFont="1" applyFill="1"/>
    <xf numFmtId="43" fontId="1" fillId="7" borderId="1" xfId="1" applyFont="1" applyFill="1" applyBorder="1"/>
    <xf numFmtId="0" fontId="1" fillId="8" borderId="1" xfId="0" applyFont="1" applyFill="1" applyBorder="1"/>
    <xf numFmtId="49" fontId="1" fillId="8" borderId="1" xfId="0" applyNumberFormat="1" applyFont="1" applyFill="1" applyBorder="1"/>
    <xf numFmtId="0" fontId="1" fillId="8" borderId="1" xfId="0" applyFont="1" applyFill="1" applyBorder="1" applyAlignment="1">
      <alignment horizontal="center"/>
    </xf>
    <xf numFmtId="4" fontId="1" fillId="8" borderId="1" xfId="0" applyNumberFormat="1" applyFont="1" applyFill="1" applyBorder="1"/>
    <xf numFmtId="4" fontId="1" fillId="8" borderId="1" xfId="0" applyNumberFormat="1" applyFont="1" applyFill="1" applyBorder="1" applyAlignment="1">
      <alignment horizontal="center"/>
    </xf>
    <xf numFmtId="0" fontId="1" fillId="8" borderId="0" xfId="0" applyFont="1" applyFill="1"/>
    <xf numFmtId="43" fontId="1" fillId="8" borderId="1" xfId="1" applyFont="1" applyFill="1" applyBorder="1"/>
    <xf numFmtId="0" fontId="1" fillId="9" borderId="1" xfId="0" applyFont="1" applyFill="1" applyBorder="1"/>
    <xf numFmtId="49" fontId="1" fillId="9" borderId="1" xfId="0" applyNumberFormat="1" applyFont="1" applyFill="1" applyBorder="1"/>
    <xf numFmtId="0" fontId="1" fillId="9" borderId="1" xfId="0" applyFont="1" applyFill="1" applyBorder="1" applyAlignment="1">
      <alignment horizontal="center"/>
    </xf>
    <xf numFmtId="4" fontId="1" fillId="9" borderId="1" xfId="0" applyNumberFormat="1" applyFont="1" applyFill="1" applyBorder="1"/>
    <xf numFmtId="4" fontId="1" fillId="9" borderId="1" xfId="0" applyNumberFormat="1" applyFont="1" applyFill="1" applyBorder="1" applyAlignment="1">
      <alignment horizontal="center"/>
    </xf>
    <xf numFmtId="0" fontId="1" fillId="9" borderId="0" xfId="0" applyFont="1" applyFill="1"/>
    <xf numFmtId="43" fontId="1" fillId="9" borderId="1" xfId="1" applyFont="1" applyFill="1" applyBorder="1"/>
    <xf numFmtId="43" fontId="1" fillId="9" borderId="0" xfId="1" applyFont="1" applyFill="1"/>
    <xf numFmtId="0" fontId="1" fillId="4" borderId="1" xfId="0" applyFont="1" applyFill="1" applyBorder="1"/>
    <xf numFmtId="49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4" fontId="1" fillId="4" borderId="1" xfId="0" applyNumberFormat="1" applyFont="1" applyFill="1" applyBorder="1"/>
    <xf numFmtId="4" fontId="1" fillId="4" borderId="1" xfId="0" applyNumberFormat="1" applyFont="1" applyFill="1" applyBorder="1" applyAlignment="1">
      <alignment horizontal="center"/>
    </xf>
    <xf numFmtId="43" fontId="1" fillId="4" borderId="1" xfId="1" applyFont="1" applyFill="1" applyBorder="1"/>
    <xf numFmtId="0" fontId="1" fillId="10" borderId="1" xfId="0" applyFont="1" applyFill="1" applyBorder="1"/>
    <xf numFmtId="49" fontId="1" fillId="10" borderId="1" xfId="0" applyNumberFormat="1" applyFont="1" applyFill="1" applyBorder="1"/>
    <xf numFmtId="0" fontId="1" fillId="10" borderId="1" xfId="0" applyFont="1" applyFill="1" applyBorder="1" applyAlignment="1">
      <alignment horizontal="center"/>
    </xf>
    <xf numFmtId="4" fontId="1" fillId="10" borderId="1" xfId="0" applyNumberFormat="1" applyFont="1" applyFill="1" applyBorder="1"/>
    <xf numFmtId="4" fontId="1" fillId="10" borderId="1" xfId="0" applyNumberFormat="1" applyFont="1" applyFill="1" applyBorder="1" applyAlignment="1">
      <alignment horizontal="center"/>
    </xf>
    <xf numFmtId="0" fontId="1" fillId="10" borderId="0" xfId="0" applyFont="1" applyFill="1"/>
    <xf numFmtId="43" fontId="1" fillId="10" borderId="1" xfId="1" applyFont="1" applyFill="1" applyBorder="1"/>
    <xf numFmtId="0" fontId="1" fillId="9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wrapText="1"/>
    </xf>
    <xf numFmtId="43" fontId="4" fillId="3" borderId="4" xfId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colors>
    <mruColors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5234C8-2E8C-488F-AB59-83B7C891B442}" name="Table132456910121516181734" displayName="Table132456910121516181734" ref="AN6501:AN6502" insertRow="1" totalsRowShown="0" headerRowDxfId="8" dataDxfId="7">
  <autoFilter ref="AN6501:AN6502" xr:uid="{00000000-0009-0000-0100-000005000000}"/>
  <tableColumns count="1">
    <tableColumn id="1" xr3:uid="{F7BB17F1-7A2B-4236-8C2F-0D77AC64B9B9}" name="Column1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4AFC7-EAEE-4D11-84C3-E195202153BE}" name="Table13245691012151618173" displayName="Table13245691012151618173" ref="AL6557:AL6558" insertRow="1" totalsRowShown="0" headerRowDxfId="5" dataDxfId="4">
  <autoFilter ref="AL6557:AL6558" xr:uid="{00000000-0009-0000-0100-000005000000}"/>
  <tableColumns count="1">
    <tableColumn id="1" xr3:uid="{71EDB8DC-58D0-4321-AC58-9804021477EA}" name="Column1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BF31D86-CC8F-4014-A37B-CF155BF99737}" name="Table1324569101215161817" displayName="Table1324569101215161817" ref="AK6557:AK6558" insertRow="1" totalsRowShown="0" headerRowDxfId="2" dataDxfId="1">
  <autoFilter ref="AK6557:AK6558" xr:uid="{00000000-0009-0000-0100-000005000000}"/>
  <tableColumns count="1">
    <tableColumn id="1" xr3:uid="{23C39379-A518-42AE-B579-ED8DBD9F83E3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F16"/>
  <sheetViews>
    <sheetView workbookViewId="0">
      <selection activeCell="D11" sqref="D11"/>
    </sheetView>
  </sheetViews>
  <sheetFormatPr defaultRowHeight="14.5" x14ac:dyDescent="0.35"/>
  <cols>
    <col min="3" max="5" width="10.54296875" bestFit="1" customWidth="1"/>
  </cols>
  <sheetData>
    <row r="4" spans="2:6" ht="29" x14ac:dyDescent="0.35">
      <c r="C4" s="34" t="s">
        <v>3</v>
      </c>
      <c r="D4" s="34" t="s">
        <v>45</v>
      </c>
      <c r="E4" t="s">
        <v>23</v>
      </c>
    </row>
    <row r="6" spans="2:6" x14ac:dyDescent="0.35">
      <c r="B6" t="s">
        <v>47</v>
      </c>
      <c r="C6" s="33">
        <v>10878</v>
      </c>
      <c r="D6" s="33">
        <v>13672</v>
      </c>
      <c r="E6" s="33">
        <f>SUM(C6:D6)</f>
        <v>24550</v>
      </c>
      <c r="F6" s="33"/>
    </row>
    <row r="7" spans="2:6" x14ac:dyDescent="0.35">
      <c r="B7" t="s">
        <v>48</v>
      </c>
      <c r="C7" s="33">
        <v>31312</v>
      </c>
      <c r="D7" s="33">
        <v>8961</v>
      </c>
      <c r="E7" s="33">
        <f t="shared" ref="E7:E14" si="0">SUM(C7:D7)</f>
        <v>40273</v>
      </c>
      <c r="F7" s="33"/>
    </row>
    <row r="8" spans="2:6" x14ac:dyDescent="0.35">
      <c r="B8" t="s">
        <v>49</v>
      </c>
      <c r="C8" s="33">
        <v>10043</v>
      </c>
      <c r="D8" s="33">
        <v>4431</v>
      </c>
      <c r="E8" s="33">
        <f t="shared" si="0"/>
        <v>14474</v>
      </c>
      <c r="F8" s="33"/>
    </row>
    <row r="9" spans="2:6" x14ac:dyDescent="0.35">
      <c r="B9" t="s">
        <v>50</v>
      </c>
      <c r="C9" s="33" t="e">
        <f>#REF!</f>
        <v>#REF!</v>
      </c>
      <c r="D9" s="33" t="e">
        <f>#REF!</f>
        <v>#REF!</v>
      </c>
      <c r="E9" s="33" t="e">
        <f t="shared" si="0"/>
        <v>#REF!</v>
      </c>
      <c r="F9" s="33"/>
    </row>
    <row r="10" spans="2:6" x14ac:dyDescent="0.35">
      <c r="B10" t="s">
        <v>51</v>
      </c>
      <c r="C10" s="33" t="e">
        <f>#REF!</f>
        <v>#REF!</v>
      </c>
      <c r="D10" s="33" t="e">
        <f>#REF!</f>
        <v>#REF!</v>
      </c>
      <c r="E10" s="33" t="e">
        <f t="shared" si="0"/>
        <v>#REF!</v>
      </c>
      <c r="F10" s="33"/>
    </row>
    <row r="11" spans="2:6" x14ac:dyDescent="0.35">
      <c r="B11" t="s">
        <v>52</v>
      </c>
      <c r="C11" s="33"/>
      <c r="D11" s="33"/>
      <c r="E11" s="33">
        <f t="shared" si="0"/>
        <v>0</v>
      </c>
      <c r="F11" s="33"/>
    </row>
    <row r="12" spans="2:6" x14ac:dyDescent="0.35">
      <c r="B12" t="s">
        <v>53</v>
      </c>
      <c r="C12" s="33"/>
      <c r="D12" s="33"/>
      <c r="E12" s="33">
        <f t="shared" si="0"/>
        <v>0</v>
      </c>
      <c r="F12" s="33"/>
    </row>
    <row r="13" spans="2:6" x14ac:dyDescent="0.35">
      <c r="B13" t="s">
        <v>54</v>
      </c>
      <c r="C13" s="33"/>
      <c r="D13" s="33"/>
      <c r="E13" s="33">
        <f t="shared" si="0"/>
        <v>0</v>
      </c>
      <c r="F13" s="33"/>
    </row>
    <row r="14" spans="2:6" x14ac:dyDescent="0.35">
      <c r="B14" t="s">
        <v>55</v>
      </c>
      <c r="C14" s="33"/>
      <c r="D14" s="33"/>
      <c r="E14" s="33">
        <f t="shared" si="0"/>
        <v>0</v>
      </c>
      <c r="F14" s="33"/>
    </row>
    <row r="15" spans="2:6" x14ac:dyDescent="0.35">
      <c r="C15" s="33">
        <f>SUM(C6:C8)</f>
        <v>52233</v>
      </c>
      <c r="D15" s="33">
        <f>SUM(D6:D8)</f>
        <v>27064</v>
      </c>
      <c r="E15" s="33">
        <f>SUM(E6:E8)</f>
        <v>79297</v>
      </c>
      <c r="F15" s="33"/>
    </row>
    <row r="16" spans="2:6" x14ac:dyDescent="0.35">
      <c r="C16" s="33"/>
      <c r="D16" s="33"/>
      <c r="E16" s="33"/>
      <c r="F16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9741-F1BC-4670-8C69-74B067F52B4C}">
  <dimension ref="A1:AN6501"/>
  <sheetViews>
    <sheetView topLeftCell="A50" zoomScale="99" zoomScaleNormal="99" workbookViewId="0">
      <selection activeCell="T85" sqref="T85:T106"/>
    </sheetView>
  </sheetViews>
  <sheetFormatPr defaultColWidth="9.1796875" defaultRowHeight="13" x14ac:dyDescent="0.3"/>
  <cols>
    <col min="1" max="1" width="6.81640625" style="2" customWidth="1"/>
    <col min="2" max="2" width="10.453125" style="4" customWidth="1"/>
    <col min="3" max="3" width="5.453125" style="4" customWidth="1"/>
    <col min="4" max="4" width="29.90625" style="4" customWidth="1"/>
    <col min="5" max="5" width="9.08984375" style="2" customWidth="1"/>
    <col min="6" max="6" width="13.90625" style="2" customWidth="1"/>
    <col min="7" max="14" width="4" style="2" hidden="1" customWidth="1"/>
    <col min="15" max="15" width="8.984375E-2" style="2" customWidth="1"/>
    <col min="16" max="16" width="9" style="2" customWidth="1"/>
    <col min="17" max="17" width="9" style="18" customWidth="1"/>
    <col min="18" max="18" width="11.36328125" style="18" customWidth="1"/>
    <col min="19" max="19" width="9.1796875" style="2" customWidth="1"/>
    <col min="20" max="20" width="8.453125" style="2" customWidth="1"/>
    <col min="21" max="21" width="14.26953125" style="3" customWidth="1"/>
    <col min="22" max="22" width="1.26953125" style="2" bestFit="1" customWidth="1"/>
    <col min="23" max="23" width="5.54296875" style="2" customWidth="1"/>
    <col min="24" max="24" width="7.1796875" style="2" customWidth="1"/>
    <col min="25" max="25" width="9" style="2" customWidth="1"/>
    <col min="26" max="33" width="9.54296875" style="2" customWidth="1"/>
    <col min="34" max="34" width="13.26953125" style="35" customWidth="1"/>
    <col min="35" max="35" width="14.81640625" style="2" customWidth="1"/>
    <col min="36" max="39" width="9.1796875" style="2"/>
    <col min="40" max="40" width="9.7265625" style="2" customWidth="1"/>
    <col min="41" max="16384" width="9.1796875" style="2"/>
  </cols>
  <sheetData>
    <row r="1" spans="1:35" ht="14.5" x14ac:dyDescent="0.35">
      <c r="B1" s="106" t="s">
        <v>15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2"/>
      <c r="AD1" s="35"/>
      <c r="AH1" s="2"/>
    </row>
    <row r="2" spans="1:35" ht="14.5" x14ac:dyDescent="0.35">
      <c r="B2" s="106" t="s">
        <v>12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/>
      <c r="V2"/>
      <c r="W2"/>
      <c r="X2"/>
      <c r="Y2"/>
      <c r="Z2"/>
      <c r="AA2"/>
      <c r="AB2"/>
      <c r="AC2"/>
      <c r="AD2" s="35"/>
      <c r="AH2" s="2"/>
    </row>
    <row r="3" spans="1:35" ht="14.5" x14ac:dyDescent="0.35">
      <c r="B3" s="106" t="s">
        <v>14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/>
      <c r="V3"/>
      <c r="W3"/>
      <c r="X3"/>
      <c r="Y3"/>
      <c r="Z3"/>
      <c r="AA3"/>
      <c r="AB3"/>
      <c r="AC3"/>
      <c r="AD3" s="35"/>
      <c r="AH3" s="2"/>
    </row>
    <row r="4" spans="1:35" ht="14.5" x14ac:dyDescent="0.35">
      <c r="B4" s="106" t="s">
        <v>13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/>
      <c r="V4"/>
      <c r="W4"/>
      <c r="X4"/>
      <c r="Y4"/>
      <c r="Z4"/>
      <c r="AA4"/>
      <c r="AB4"/>
      <c r="AC4"/>
      <c r="AD4" s="35"/>
      <c r="AH4" s="2"/>
    </row>
    <row r="5" spans="1:35" ht="14.5" x14ac:dyDescent="0.3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100"/>
      <c r="R5" s="100"/>
      <c r="S5" s="6"/>
      <c r="T5" s="6"/>
      <c r="U5"/>
      <c r="V5" t="s">
        <v>10</v>
      </c>
      <c r="W5"/>
      <c r="X5"/>
      <c r="Y5"/>
      <c r="Z5"/>
      <c r="AA5"/>
      <c r="AB5"/>
      <c r="AC5"/>
      <c r="AD5" s="35"/>
      <c r="AH5" s="2"/>
    </row>
    <row r="6" spans="1:35" x14ac:dyDescent="0.3">
      <c r="B6" s="107" t="s">
        <v>346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2"/>
      <c r="AD6" s="35"/>
      <c r="AH6" s="2"/>
    </row>
    <row r="7" spans="1:35" s="1" customFormat="1" x14ac:dyDescent="0.3">
      <c r="B7" s="105" t="s">
        <v>63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AD7" s="36"/>
    </row>
    <row r="8" spans="1:35" s="1" customFormat="1" ht="53.5" customHeight="1" x14ac:dyDescent="0.3">
      <c r="A8" s="27" t="s">
        <v>35</v>
      </c>
      <c r="B8" s="113" t="s">
        <v>0</v>
      </c>
      <c r="C8" s="115" t="s">
        <v>34</v>
      </c>
      <c r="D8" s="48" t="s">
        <v>113</v>
      </c>
      <c r="E8" s="108" t="s">
        <v>32</v>
      </c>
      <c r="F8" s="27" t="s">
        <v>39</v>
      </c>
      <c r="G8" s="117" t="s">
        <v>59</v>
      </c>
      <c r="H8" s="118"/>
      <c r="I8" s="118"/>
      <c r="J8" s="118"/>
      <c r="K8" s="118"/>
      <c r="L8" s="118"/>
      <c r="M8" s="118"/>
      <c r="N8" s="118"/>
      <c r="O8" s="118"/>
      <c r="P8" s="108" t="s">
        <v>33</v>
      </c>
      <c r="Q8" s="101"/>
      <c r="R8" s="101"/>
      <c r="S8" s="119" t="s">
        <v>38</v>
      </c>
      <c r="T8" s="108" t="s">
        <v>16</v>
      </c>
      <c r="U8" s="108" t="s">
        <v>57</v>
      </c>
      <c r="W8" s="1" t="s">
        <v>31</v>
      </c>
      <c r="X8" s="38" t="s">
        <v>58</v>
      </c>
      <c r="Y8" s="110" t="s">
        <v>60</v>
      </c>
      <c r="Z8" s="110"/>
      <c r="AA8" s="110"/>
      <c r="AB8" s="110"/>
      <c r="AC8" s="110"/>
      <c r="AD8" s="110"/>
      <c r="AE8" s="110"/>
      <c r="AF8" s="110"/>
      <c r="AG8" s="110"/>
      <c r="AH8" s="111" t="s">
        <v>46</v>
      </c>
    </row>
    <row r="9" spans="1:35" s="1" customFormat="1" x14ac:dyDescent="0.3">
      <c r="A9" s="25"/>
      <c r="B9" s="114"/>
      <c r="C9" s="116"/>
      <c r="D9" s="47"/>
      <c r="E9" s="109"/>
      <c r="F9" s="26"/>
      <c r="G9" s="42">
        <v>1</v>
      </c>
      <c r="H9" s="42">
        <v>2</v>
      </c>
      <c r="I9" s="42">
        <v>3</v>
      </c>
      <c r="J9" s="42">
        <v>4</v>
      </c>
      <c r="K9" s="42">
        <v>5</v>
      </c>
      <c r="L9" s="42">
        <v>6</v>
      </c>
      <c r="M9" s="42">
        <v>7</v>
      </c>
      <c r="N9" s="42">
        <v>8</v>
      </c>
      <c r="O9" s="42">
        <v>9</v>
      </c>
      <c r="P9" s="109"/>
      <c r="Q9" s="102"/>
      <c r="R9" s="102"/>
      <c r="S9" s="120"/>
      <c r="T9" s="109"/>
      <c r="U9" s="109"/>
      <c r="X9" s="39"/>
      <c r="Y9" s="42">
        <v>1</v>
      </c>
      <c r="Z9" s="42">
        <v>2</v>
      </c>
      <c r="AA9" s="42">
        <v>3</v>
      </c>
      <c r="AB9" s="42">
        <v>4</v>
      </c>
      <c r="AC9" s="42">
        <v>5</v>
      </c>
      <c r="AD9" s="42">
        <v>6</v>
      </c>
      <c r="AE9" s="42">
        <v>7</v>
      </c>
      <c r="AF9" s="42">
        <v>8</v>
      </c>
      <c r="AG9" s="42">
        <v>9</v>
      </c>
      <c r="AH9" s="112"/>
    </row>
    <row r="10" spans="1:35" s="1" customFormat="1" x14ac:dyDescent="0.3">
      <c r="B10" s="20" t="s">
        <v>3</v>
      </c>
      <c r="C10" s="21"/>
      <c r="D10" s="21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03"/>
      <c r="R10" s="104">
        <f>SUM(R11:R83)</f>
        <v>150000</v>
      </c>
      <c r="S10" s="23"/>
      <c r="T10" s="22"/>
      <c r="U10" s="24"/>
      <c r="X10" s="39"/>
      <c r="Y10" s="43"/>
      <c r="Z10" s="43"/>
      <c r="AA10" s="43"/>
      <c r="AB10" s="43"/>
      <c r="AC10" s="43"/>
      <c r="AD10" s="43"/>
      <c r="AE10" s="43"/>
      <c r="AF10" s="43"/>
      <c r="AG10" s="43"/>
      <c r="AH10" s="36"/>
      <c r="AI10" s="32">
        <f>SUM(AH11:AH83)</f>
        <v>31543</v>
      </c>
    </row>
    <row r="11" spans="1:35" s="39" customFormat="1" x14ac:dyDescent="0.3">
      <c r="A11" s="49" t="s">
        <v>36</v>
      </c>
      <c r="B11" s="50" t="s">
        <v>148</v>
      </c>
      <c r="C11" s="50" t="s">
        <v>17</v>
      </c>
      <c r="D11" s="50" t="s">
        <v>120</v>
      </c>
      <c r="E11" s="51">
        <v>70</v>
      </c>
      <c r="F11" s="51"/>
      <c r="G11" s="51">
        <v>3</v>
      </c>
      <c r="H11" s="51">
        <v>2</v>
      </c>
      <c r="I11" s="51">
        <v>3</v>
      </c>
      <c r="J11" s="51">
        <v>1</v>
      </c>
      <c r="K11" s="51"/>
      <c r="L11" s="51"/>
      <c r="M11" s="51"/>
      <c r="N11" s="51"/>
      <c r="O11" s="51"/>
      <c r="P11" s="51">
        <f t="shared" ref="P11:P59" si="0">SUM(G11:O11)</f>
        <v>9</v>
      </c>
      <c r="Q11" s="9">
        <v>48</v>
      </c>
      <c r="R11" s="9">
        <f>Q11*T11</f>
        <v>1680</v>
      </c>
      <c r="S11" s="51">
        <f t="shared" ref="S11:S42" si="1">E11+F11-P11</f>
        <v>61</v>
      </c>
      <c r="T11" s="52">
        <v>35</v>
      </c>
      <c r="U11" s="53">
        <f t="shared" ref="U11:U59" si="2">S11*T11</f>
        <v>2135</v>
      </c>
      <c r="X11" s="39">
        <f t="shared" ref="X11:X59" si="3">S11+W11</f>
        <v>61</v>
      </c>
      <c r="Y11" s="54">
        <f t="shared" ref="Y11:Y42" si="4">G11*$T11</f>
        <v>105</v>
      </c>
      <c r="Z11" s="54">
        <f t="shared" ref="Z11:Z42" si="5">H11*$T11</f>
        <v>70</v>
      </c>
      <c r="AA11" s="54">
        <f t="shared" ref="AA11:AA42" si="6">I11*$T11</f>
        <v>105</v>
      </c>
      <c r="AB11" s="54">
        <f t="shared" ref="AB11:AB42" si="7">J11*$T11</f>
        <v>35</v>
      </c>
      <c r="AC11" s="54">
        <f t="shared" ref="AC11:AC42" si="8">K11*$T11</f>
        <v>0</v>
      </c>
      <c r="AD11" s="54">
        <f t="shared" ref="AD11:AD42" si="9">L11*$T11</f>
        <v>0</v>
      </c>
      <c r="AE11" s="54">
        <f t="shared" ref="AE11:AE42" si="10">M11*$T11</f>
        <v>0</v>
      </c>
      <c r="AF11" s="54">
        <f t="shared" ref="AF11:AF42" si="11">N11*$T11</f>
        <v>0</v>
      </c>
      <c r="AG11" s="54">
        <f t="shared" ref="AG11:AG42" si="12">O11*$T11</f>
        <v>0</v>
      </c>
      <c r="AH11" s="54">
        <f t="shared" ref="AH11:AH42" si="13">P11*$T11</f>
        <v>315</v>
      </c>
      <c r="AI11" s="54">
        <f t="shared" ref="AI11:AI42" si="14">S11*$T11</f>
        <v>2135</v>
      </c>
    </row>
    <row r="12" spans="1:35" s="39" customFormat="1" x14ac:dyDescent="0.3">
      <c r="A12" s="49" t="s">
        <v>36</v>
      </c>
      <c r="B12" s="50" t="s">
        <v>152</v>
      </c>
      <c r="C12" s="50" t="s">
        <v>17</v>
      </c>
      <c r="D12" s="50" t="s">
        <v>121</v>
      </c>
      <c r="E12" s="51">
        <v>30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>
        <f t="shared" si="0"/>
        <v>0</v>
      </c>
      <c r="Q12" s="9">
        <v>24</v>
      </c>
      <c r="R12" s="9">
        <f t="shared" ref="R12:R53" si="15">Q12*T12</f>
        <v>840</v>
      </c>
      <c r="S12" s="51">
        <f t="shared" si="1"/>
        <v>30</v>
      </c>
      <c r="T12" s="52">
        <v>35</v>
      </c>
      <c r="U12" s="53">
        <f t="shared" si="2"/>
        <v>1050</v>
      </c>
      <c r="X12" s="39">
        <f t="shared" si="3"/>
        <v>30</v>
      </c>
      <c r="Y12" s="54">
        <f t="shared" si="4"/>
        <v>0</v>
      </c>
      <c r="Z12" s="54">
        <f t="shared" si="5"/>
        <v>0</v>
      </c>
      <c r="AA12" s="54">
        <f t="shared" si="6"/>
        <v>0</v>
      </c>
      <c r="AB12" s="54">
        <f t="shared" si="7"/>
        <v>0</v>
      </c>
      <c r="AC12" s="54">
        <f t="shared" si="8"/>
        <v>0</v>
      </c>
      <c r="AD12" s="54">
        <f t="shared" si="9"/>
        <v>0</v>
      </c>
      <c r="AE12" s="54">
        <f t="shared" si="10"/>
        <v>0</v>
      </c>
      <c r="AF12" s="54">
        <f t="shared" si="11"/>
        <v>0</v>
      </c>
      <c r="AG12" s="54">
        <f t="shared" si="12"/>
        <v>0</v>
      </c>
      <c r="AH12" s="54">
        <f t="shared" si="13"/>
        <v>0</v>
      </c>
      <c r="AI12" s="54">
        <f t="shared" si="14"/>
        <v>1050</v>
      </c>
    </row>
    <row r="13" spans="1:35" s="39" customFormat="1" x14ac:dyDescent="0.3">
      <c r="A13" s="49" t="s">
        <v>36</v>
      </c>
      <c r="B13" s="50" t="s">
        <v>154</v>
      </c>
      <c r="C13" s="50" t="s">
        <v>17</v>
      </c>
      <c r="D13" s="50" t="s">
        <v>123</v>
      </c>
      <c r="E13" s="51">
        <v>19</v>
      </c>
      <c r="F13" s="51"/>
      <c r="G13" s="51"/>
      <c r="H13" s="51"/>
      <c r="I13" s="51"/>
      <c r="J13" s="51"/>
      <c r="K13" s="51"/>
      <c r="L13" s="51"/>
      <c r="M13" s="51"/>
      <c r="N13" s="51">
        <v>1</v>
      </c>
      <c r="O13" s="51"/>
      <c r="P13" s="51">
        <f t="shared" si="0"/>
        <v>1</v>
      </c>
      <c r="Q13" s="9">
        <v>12</v>
      </c>
      <c r="R13" s="9">
        <f t="shared" si="15"/>
        <v>372</v>
      </c>
      <c r="S13" s="51">
        <f t="shared" si="1"/>
        <v>18</v>
      </c>
      <c r="T13" s="52">
        <v>31</v>
      </c>
      <c r="U13" s="53">
        <f t="shared" si="2"/>
        <v>558</v>
      </c>
      <c r="X13" s="39">
        <f t="shared" si="3"/>
        <v>18</v>
      </c>
      <c r="Y13" s="54">
        <f t="shared" si="4"/>
        <v>0</v>
      </c>
      <c r="Z13" s="54">
        <f t="shared" si="5"/>
        <v>0</v>
      </c>
      <c r="AA13" s="54">
        <f t="shared" si="6"/>
        <v>0</v>
      </c>
      <c r="AB13" s="54">
        <f t="shared" si="7"/>
        <v>0</v>
      </c>
      <c r="AC13" s="54">
        <f t="shared" si="8"/>
        <v>0</v>
      </c>
      <c r="AD13" s="54">
        <f t="shared" si="9"/>
        <v>0</v>
      </c>
      <c r="AE13" s="54">
        <f t="shared" si="10"/>
        <v>0</v>
      </c>
      <c r="AF13" s="54">
        <f t="shared" si="11"/>
        <v>31</v>
      </c>
      <c r="AG13" s="54">
        <f t="shared" si="12"/>
        <v>0</v>
      </c>
      <c r="AH13" s="54">
        <f t="shared" si="13"/>
        <v>31</v>
      </c>
      <c r="AI13" s="54">
        <f t="shared" si="14"/>
        <v>558</v>
      </c>
    </row>
    <row r="14" spans="1:35" s="39" customFormat="1" x14ac:dyDescent="0.3">
      <c r="A14" s="49" t="s">
        <v>36</v>
      </c>
      <c r="B14" s="50" t="s">
        <v>155</v>
      </c>
      <c r="C14" s="50" t="s">
        <v>17</v>
      </c>
      <c r="D14" s="50" t="s">
        <v>124</v>
      </c>
      <c r="E14" s="51">
        <v>19</v>
      </c>
      <c r="F14" s="51"/>
      <c r="G14" s="51"/>
      <c r="H14" s="51"/>
      <c r="I14" s="51">
        <v>1</v>
      </c>
      <c r="J14" s="51"/>
      <c r="K14" s="51"/>
      <c r="L14" s="51">
        <v>4</v>
      </c>
      <c r="M14" s="51"/>
      <c r="N14" s="51"/>
      <c r="O14" s="51"/>
      <c r="P14" s="51">
        <f t="shared" si="0"/>
        <v>5</v>
      </c>
      <c r="Q14" s="9">
        <v>12</v>
      </c>
      <c r="R14" s="9">
        <f t="shared" si="15"/>
        <v>372</v>
      </c>
      <c r="S14" s="51">
        <f t="shared" si="1"/>
        <v>14</v>
      </c>
      <c r="T14" s="52">
        <v>31</v>
      </c>
      <c r="U14" s="53">
        <f t="shared" si="2"/>
        <v>434</v>
      </c>
      <c r="X14" s="39">
        <f t="shared" si="3"/>
        <v>14</v>
      </c>
      <c r="Y14" s="54">
        <f t="shared" si="4"/>
        <v>0</v>
      </c>
      <c r="Z14" s="54">
        <f t="shared" si="5"/>
        <v>0</v>
      </c>
      <c r="AA14" s="54">
        <f t="shared" si="6"/>
        <v>31</v>
      </c>
      <c r="AB14" s="54">
        <f t="shared" si="7"/>
        <v>0</v>
      </c>
      <c r="AC14" s="54">
        <f t="shared" si="8"/>
        <v>0</v>
      </c>
      <c r="AD14" s="54">
        <f t="shared" si="9"/>
        <v>124</v>
      </c>
      <c r="AE14" s="54">
        <f t="shared" si="10"/>
        <v>0</v>
      </c>
      <c r="AF14" s="54">
        <f t="shared" si="11"/>
        <v>0</v>
      </c>
      <c r="AG14" s="54">
        <f t="shared" si="12"/>
        <v>0</v>
      </c>
      <c r="AH14" s="54">
        <f t="shared" si="13"/>
        <v>155</v>
      </c>
      <c r="AI14" s="54">
        <f t="shared" si="14"/>
        <v>434</v>
      </c>
    </row>
    <row r="15" spans="1:35" s="39" customFormat="1" x14ac:dyDescent="0.3">
      <c r="A15" s="49" t="s">
        <v>36</v>
      </c>
      <c r="B15" s="50" t="s">
        <v>160</v>
      </c>
      <c r="C15" s="50" t="s">
        <v>17</v>
      </c>
      <c r="D15" s="50" t="s">
        <v>130</v>
      </c>
      <c r="E15" s="51">
        <v>7</v>
      </c>
      <c r="F15" s="51">
        <v>12</v>
      </c>
      <c r="G15" s="51">
        <v>1</v>
      </c>
      <c r="H15" s="51"/>
      <c r="I15" s="51"/>
      <c r="J15" s="51"/>
      <c r="K15" s="51"/>
      <c r="L15" s="51"/>
      <c r="M15" s="51"/>
      <c r="N15" s="51"/>
      <c r="O15" s="51"/>
      <c r="P15" s="51">
        <f t="shared" ref="P15:P33" si="16">SUM(G15:O15)</f>
        <v>1</v>
      </c>
      <c r="Q15" s="9">
        <v>12</v>
      </c>
      <c r="R15" s="9">
        <f t="shared" si="15"/>
        <v>720</v>
      </c>
      <c r="S15" s="51">
        <f t="shared" si="1"/>
        <v>18</v>
      </c>
      <c r="T15" s="52">
        <v>60</v>
      </c>
      <c r="U15" s="53">
        <f t="shared" si="2"/>
        <v>1080</v>
      </c>
      <c r="W15" s="51">
        <v>12</v>
      </c>
      <c r="X15" s="39">
        <f t="shared" si="3"/>
        <v>30</v>
      </c>
      <c r="Y15" s="54">
        <f t="shared" si="4"/>
        <v>60</v>
      </c>
      <c r="Z15" s="54">
        <f t="shared" si="5"/>
        <v>0</v>
      </c>
      <c r="AA15" s="54">
        <f t="shared" si="6"/>
        <v>0</v>
      </c>
      <c r="AB15" s="54">
        <f t="shared" si="7"/>
        <v>0</v>
      </c>
      <c r="AC15" s="54">
        <f t="shared" si="8"/>
        <v>0</v>
      </c>
      <c r="AD15" s="54">
        <f t="shared" si="9"/>
        <v>0</v>
      </c>
      <c r="AE15" s="54">
        <f t="shared" si="10"/>
        <v>0</v>
      </c>
      <c r="AF15" s="54">
        <f t="shared" si="11"/>
        <v>0</v>
      </c>
      <c r="AG15" s="54">
        <f t="shared" si="12"/>
        <v>0</v>
      </c>
      <c r="AH15" s="54">
        <f t="shared" si="13"/>
        <v>60</v>
      </c>
      <c r="AI15" s="54">
        <f t="shared" si="14"/>
        <v>1080</v>
      </c>
    </row>
    <row r="16" spans="1:35" s="39" customFormat="1" x14ac:dyDescent="0.3">
      <c r="A16" s="49" t="s">
        <v>36</v>
      </c>
      <c r="B16" s="50" t="s">
        <v>72</v>
      </c>
      <c r="C16" s="50" t="s">
        <v>17</v>
      </c>
      <c r="D16" s="50" t="s">
        <v>129</v>
      </c>
      <c r="E16" s="51">
        <v>11</v>
      </c>
      <c r="F16" s="51">
        <v>12</v>
      </c>
      <c r="G16" s="51"/>
      <c r="H16" s="51"/>
      <c r="I16" s="51">
        <v>20</v>
      </c>
      <c r="J16" s="51"/>
      <c r="K16" s="51"/>
      <c r="L16" s="51"/>
      <c r="M16" s="51"/>
      <c r="N16" s="51"/>
      <c r="O16" s="51"/>
      <c r="P16" s="51">
        <f t="shared" si="16"/>
        <v>20</v>
      </c>
      <c r="Q16" s="9">
        <v>12</v>
      </c>
      <c r="R16" s="9">
        <f t="shared" si="15"/>
        <v>720</v>
      </c>
      <c r="S16" s="51">
        <f t="shared" si="1"/>
        <v>3</v>
      </c>
      <c r="T16" s="52">
        <v>60</v>
      </c>
      <c r="U16" s="53">
        <f t="shared" si="2"/>
        <v>180</v>
      </c>
      <c r="W16" s="51">
        <v>12</v>
      </c>
      <c r="X16" s="39">
        <f t="shared" si="3"/>
        <v>15</v>
      </c>
      <c r="Y16" s="54">
        <f t="shared" si="4"/>
        <v>0</v>
      </c>
      <c r="Z16" s="54">
        <f t="shared" si="5"/>
        <v>0</v>
      </c>
      <c r="AA16" s="54">
        <f t="shared" si="6"/>
        <v>1200</v>
      </c>
      <c r="AB16" s="54">
        <f t="shared" si="7"/>
        <v>0</v>
      </c>
      <c r="AC16" s="54">
        <f t="shared" si="8"/>
        <v>0</v>
      </c>
      <c r="AD16" s="54">
        <f t="shared" si="9"/>
        <v>0</v>
      </c>
      <c r="AE16" s="54">
        <f t="shared" si="10"/>
        <v>0</v>
      </c>
      <c r="AF16" s="54">
        <f t="shared" si="11"/>
        <v>0</v>
      </c>
      <c r="AG16" s="54">
        <f t="shared" si="12"/>
        <v>0</v>
      </c>
      <c r="AH16" s="54">
        <f t="shared" si="13"/>
        <v>1200</v>
      </c>
      <c r="AI16" s="54">
        <f t="shared" si="14"/>
        <v>180</v>
      </c>
    </row>
    <row r="17" spans="1:35" s="62" customFormat="1" x14ac:dyDescent="0.3">
      <c r="A17" s="57" t="s">
        <v>36</v>
      </c>
      <c r="B17" s="58" t="s">
        <v>162</v>
      </c>
      <c r="C17" s="58" t="s">
        <v>21</v>
      </c>
      <c r="D17" s="58" t="s">
        <v>132</v>
      </c>
      <c r="E17" s="59">
        <v>90</v>
      </c>
      <c r="F17" s="59"/>
      <c r="G17" s="59">
        <v>7</v>
      </c>
      <c r="H17" s="59">
        <v>6</v>
      </c>
      <c r="I17" s="59">
        <v>1</v>
      </c>
      <c r="J17" s="59">
        <v>3</v>
      </c>
      <c r="K17" s="59">
        <v>2</v>
      </c>
      <c r="L17" s="59">
        <v>4</v>
      </c>
      <c r="M17" s="59"/>
      <c r="N17" s="59">
        <v>2</v>
      </c>
      <c r="O17" s="59">
        <v>4</v>
      </c>
      <c r="P17" s="59">
        <f t="shared" si="16"/>
        <v>29</v>
      </c>
      <c r="Q17" s="9">
        <v>100</v>
      </c>
      <c r="R17" s="9">
        <f t="shared" si="15"/>
        <v>21500</v>
      </c>
      <c r="S17" s="59">
        <f t="shared" si="1"/>
        <v>61</v>
      </c>
      <c r="T17" s="60">
        <v>215</v>
      </c>
      <c r="U17" s="61">
        <f t="shared" si="2"/>
        <v>13115</v>
      </c>
      <c r="X17" s="62">
        <f t="shared" si="3"/>
        <v>61</v>
      </c>
      <c r="Y17" s="63">
        <f t="shared" si="4"/>
        <v>1505</v>
      </c>
      <c r="Z17" s="63">
        <f t="shared" si="5"/>
        <v>1290</v>
      </c>
      <c r="AA17" s="63">
        <f t="shared" si="6"/>
        <v>215</v>
      </c>
      <c r="AB17" s="63">
        <f t="shared" si="7"/>
        <v>645</v>
      </c>
      <c r="AC17" s="63">
        <f t="shared" si="8"/>
        <v>430</v>
      </c>
      <c r="AD17" s="63">
        <f t="shared" si="9"/>
        <v>860</v>
      </c>
      <c r="AE17" s="63">
        <f t="shared" si="10"/>
        <v>0</v>
      </c>
      <c r="AF17" s="63">
        <f t="shared" si="11"/>
        <v>430</v>
      </c>
      <c r="AG17" s="63">
        <f t="shared" si="12"/>
        <v>860</v>
      </c>
      <c r="AH17" s="63">
        <f t="shared" si="13"/>
        <v>6235</v>
      </c>
      <c r="AI17" s="63">
        <f t="shared" si="14"/>
        <v>13115</v>
      </c>
    </row>
    <row r="18" spans="1:35" s="62" customFormat="1" x14ac:dyDescent="0.3">
      <c r="A18" s="57" t="s">
        <v>36</v>
      </c>
      <c r="B18" s="58" t="s">
        <v>164</v>
      </c>
      <c r="C18" s="58" t="s">
        <v>21</v>
      </c>
      <c r="D18" s="58" t="s">
        <v>133</v>
      </c>
      <c r="E18" s="59">
        <v>118</v>
      </c>
      <c r="F18" s="59"/>
      <c r="G18" s="59">
        <v>1</v>
      </c>
      <c r="H18" s="59">
        <v>1</v>
      </c>
      <c r="I18" s="59">
        <v>1</v>
      </c>
      <c r="J18" s="59">
        <v>1</v>
      </c>
      <c r="K18" s="59">
        <v>1</v>
      </c>
      <c r="L18" s="59"/>
      <c r="M18" s="59"/>
      <c r="N18" s="59"/>
      <c r="O18" s="59">
        <v>1</v>
      </c>
      <c r="P18" s="59">
        <f t="shared" si="16"/>
        <v>6</v>
      </c>
      <c r="Q18" s="9">
        <v>50</v>
      </c>
      <c r="R18" s="9">
        <f t="shared" si="15"/>
        <v>9000</v>
      </c>
      <c r="S18" s="59">
        <f t="shared" si="1"/>
        <v>112</v>
      </c>
      <c r="T18" s="60">
        <v>180</v>
      </c>
      <c r="U18" s="61">
        <f t="shared" si="2"/>
        <v>20160</v>
      </c>
      <c r="X18" s="62">
        <f t="shared" si="3"/>
        <v>112</v>
      </c>
      <c r="Y18" s="63">
        <f t="shared" si="4"/>
        <v>180</v>
      </c>
      <c r="Z18" s="63">
        <f t="shared" si="5"/>
        <v>180</v>
      </c>
      <c r="AA18" s="63">
        <f t="shared" si="6"/>
        <v>180</v>
      </c>
      <c r="AB18" s="63">
        <f t="shared" si="7"/>
        <v>180</v>
      </c>
      <c r="AC18" s="63">
        <f t="shared" si="8"/>
        <v>180</v>
      </c>
      <c r="AD18" s="63">
        <f t="shared" si="9"/>
        <v>0</v>
      </c>
      <c r="AE18" s="63">
        <f t="shared" si="10"/>
        <v>0</v>
      </c>
      <c r="AF18" s="63">
        <f t="shared" si="11"/>
        <v>0</v>
      </c>
      <c r="AG18" s="63">
        <f t="shared" si="12"/>
        <v>180</v>
      </c>
      <c r="AH18" s="63">
        <f t="shared" si="13"/>
        <v>1080</v>
      </c>
      <c r="AI18" s="63">
        <f t="shared" si="14"/>
        <v>20160</v>
      </c>
    </row>
    <row r="19" spans="1:35" s="62" customFormat="1" x14ac:dyDescent="0.3">
      <c r="A19" s="57" t="s">
        <v>36</v>
      </c>
      <c r="B19" s="58" t="s">
        <v>166</v>
      </c>
      <c r="C19" s="58" t="s">
        <v>142</v>
      </c>
      <c r="D19" s="58" t="s">
        <v>135</v>
      </c>
      <c r="E19" s="59">
        <v>0</v>
      </c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>
        <f t="shared" si="16"/>
        <v>0</v>
      </c>
      <c r="Q19" s="9">
        <v>20</v>
      </c>
      <c r="R19" s="9">
        <f t="shared" si="15"/>
        <v>700</v>
      </c>
      <c r="S19" s="59">
        <f t="shared" si="1"/>
        <v>0</v>
      </c>
      <c r="T19" s="60">
        <v>35</v>
      </c>
      <c r="U19" s="61">
        <f t="shared" si="2"/>
        <v>0</v>
      </c>
      <c r="W19" s="59">
        <v>15</v>
      </c>
      <c r="X19" s="62">
        <f t="shared" si="3"/>
        <v>15</v>
      </c>
      <c r="Y19" s="63">
        <f t="shared" si="4"/>
        <v>0</v>
      </c>
      <c r="Z19" s="63">
        <f t="shared" si="5"/>
        <v>0</v>
      </c>
      <c r="AA19" s="63">
        <f t="shared" si="6"/>
        <v>0</v>
      </c>
      <c r="AB19" s="63">
        <f t="shared" si="7"/>
        <v>0</v>
      </c>
      <c r="AC19" s="63">
        <f t="shared" si="8"/>
        <v>0</v>
      </c>
      <c r="AD19" s="63">
        <f t="shared" si="9"/>
        <v>0</v>
      </c>
      <c r="AE19" s="63">
        <f t="shared" si="10"/>
        <v>0</v>
      </c>
      <c r="AF19" s="63">
        <f t="shared" si="11"/>
        <v>0</v>
      </c>
      <c r="AG19" s="63">
        <f t="shared" si="12"/>
        <v>0</v>
      </c>
      <c r="AH19" s="63">
        <f t="shared" si="13"/>
        <v>0</v>
      </c>
      <c r="AI19" s="63">
        <f t="shared" si="14"/>
        <v>0</v>
      </c>
    </row>
    <row r="20" spans="1:35" s="62" customFormat="1" x14ac:dyDescent="0.3">
      <c r="A20" s="57" t="s">
        <v>36</v>
      </c>
      <c r="B20" s="58" t="s">
        <v>163</v>
      </c>
      <c r="C20" s="58" t="s">
        <v>142</v>
      </c>
      <c r="D20" s="58" t="s">
        <v>136</v>
      </c>
      <c r="E20" s="59">
        <v>5</v>
      </c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>
        <f t="shared" si="16"/>
        <v>0</v>
      </c>
      <c r="Q20" s="9">
        <v>25</v>
      </c>
      <c r="R20" s="9">
        <f t="shared" si="15"/>
        <v>750</v>
      </c>
      <c r="S20" s="59">
        <f t="shared" si="1"/>
        <v>5</v>
      </c>
      <c r="T20" s="60">
        <v>30</v>
      </c>
      <c r="U20" s="61">
        <f t="shared" si="2"/>
        <v>150</v>
      </c>
      <c r="W20" s="59">
        <v>15</v>
      </c>
      <c r="X20" s="62">
        <f t="shared" si="3"/>
        <v>20</v>
      </c>
      <c r="Y20" s="63">
        <f t="shared" si="4"/>
        <v>0</v>
      </c>
      <c r="Z20" s="63">
        <f t="shared" si="5"/>
        <v>0</v>
      </c>
      <c r="AA20" s="63">
        <f t="shared" si="6"/>
        <v>0</v>
      </c>
      <c r="AB20" s="63">
        <f t="shared" si="7"/>
        <v>0</v>
      </c>
      <c r="AC20" s="63">
        <f t="shared" si="8"/>
        <v>0</v>
      </c>
      <c r="AD20" s="63">
        <f t="shared" si="9"/>
        <v>0</v>
      </c>
      <c r="AE20" s="63">
        <f t="shared" si="10"/>
        <v>0</v>
      </c>
      <c r="AF20" s="63">
        <f t="shared" si="11"/>
        <v>0</v>
      </c>
      <c r="AG20" s="63">
        <f t="shared" si="12"/>
        <v>0</v>
      </c>
      <c r="AH20" s="63">
        <f t="shared" si="13"/>
        <v>0</v>
      </c>
      <c r="AI20" s="63">
        <f t="shared" si="14"/>
        <v>150</v>
      </c>
    </row>
    <row r="21" spans="1:35" s="62" customFormat="1" x14ac:dyDescent="0.3">
      <c r="A21" s="57" t="s">
        <v>36</v>
      </c>
      <c r="B21" s="58" t="s">
        <v>167</v>
      </c>
      <c r="C21" s="58" t="s">
        <v>142</v>
      </c>
      <c r="D21" s="58" t="s">
        <v>137</v>
      </c>
      <c r="E21" s="59">
        <v>0</v>
      </c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>
        <f t="shared" si="16"/>
        <v>0</v>
      </c>
      <c r="Q21" s="9">
        <v>15</v>
      </c>
      <c r="R21" s="9">
        <f t="shared" si="15"/>
        <v>675</v>
      </c>
      <c r="S21" s="59">
        <f t="shared" si="1"/>
        <v>0</v>
      </c>
      <c r="T21" s="60">
        <v>45</v>
      </c>
      <c r="U21" s="61">
        <f t="shared" si="2"/>
        <v>0</v>
      </c>
      <c r="W21" s="59"/>
      <c r="X21" s="62">
        <f t="shared" si="3"/>
        <v>0</v>
      </c>
      <c r="Y21" s="63">
        <f t="shared" si="4"/>
        <v>0</v>
      </c>
      <c r="Z21" s="63">
        <f t="shared" si="5"/>
        <v>0</v>
      </c>
      <c r="AA21" s="63">
        <f t="shared" si="6"/>
        <v>0</v>
      </c>
      <c r="AB21" s="63">
        <f t="shared" si="7"/>
        <v>0</v>
      </c>
      <c r="AC21" s="63">
        <f t="shared" si="8"/>
        <v>0</v>
      </c>
      <c r="AD21" s="63">
        <f t="shared" si="9"/>
        <v>0</v>
      </c>
      <c r="AE21" s="63">
        <f t="shared" si="10"/>
        <v>0</v>
      </c>
      <c r="AF21" s="63">
        <f t="shared" si="11"/>
        <v>0</v>
      </c>
      <c r="AG21" s="63">
        <f t="shared" si="12"/>
        <v>0</v>
      </c>
      <c r="AH21" s="63">
        <f t="shared" si="13"/>
        <v>0</v>
      </c>
      <c r="AI21" s="63">
        <f t="shared" si="14"/>
        <v>0</v>
      </c>
    </row>
    <row r="22" spans="1:35" s="62" customFormat="1" x14ac:dyDescent="0.3">
      <c r="A22" s="57" t="s">
        <v>36</v>
      </c>
      <c r="B22" s="58" t="s">
        <v>168</v>
      </c>
      <c r="C22" s="58" t="s">
        <v>142</v>
      </c>
      <c r="D22" s="58" t="s">
        <v>138</v>
      </c>
      <c r="E22" s="59">
        <v>0</v>
      </c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>
        <f t="shared" si="16"/>
        <v>0</v>
      </c>
      <c r="Q22" s="9">
        <v>20</v>
      </c>
      <c r="R22" s="9">
        <f t="shared" si="15"/>
        <v>800</v>
      </c>
      <c r="S22" s="59">
        <f t="shared" si="1"/>
        <v>0</v>
      </c>
      <c r="T22" s="60">
        <v>40</v>
      </c>
      <c r="U22" s="61">
        <f t="shared" si="2"/>
        <v>0</v>
      </c>
      <c r="W22" s="59"/>
      <c r="X22" s="62">
        <f t="shared" si="3"/>
        <v>0</v>
      </c>
      <c r="Y22" s="63">
        <f t="shared" si="4"/>
        <v>0</v>
      </c>
      <c r="Z22" s="63">
        <f t="shared" si="5"/>
        <v>0</v>
      </c>
      <c r="AA22" s="63">
        <f t="shared" si="6"/>
        <v>0</v>
      </c>
      <c r="AB22" s="63">
        <f t="shared" si="7"/>
        <v>0</v>
      </c>
      <c r="AC22" s="63">
        <f t="shared" si="8"/>
        <v>0</v>
      </c>
      <c r="AD22" s="63">
        <f t="shared" si="9"/>
        <v>0</v>
      </c>
      <c r="AE22" s="63">
        <f t="shared" si="10"/>
        <v>0</v>
      </c>
      <c r="AF22" s="63">
        <f t="shared" si="11"/>
        <v>0</v>
      </c>
      <c r="AG22" s="63">
        <f t="shared" si="12"/>
        <v>0</v>
      </c>
      <c r="AH22" s="63">
        <f t="shared" si="13"/>
        <v>0</v>
      </c>
      <c r="AI22" s="63">
        <f t="shared" si="14"/>
        <v>0</v>
      </c>
    </row>
    <row r="23" spans="1:35" s="62" customFormat="1" x14ac:dyDescent="0.3">
      <c r="A23" s="57" t="s">
        <v>36</v>
      </c>
      <c r="B23" s="58" t="s">
        <v>169</v>
      </c>
      <c r="C23" s="58" t="s">
        <v>142</v>
      </c>
      <c r="D23" s="58" t="s">
        <v>139</v>
      </c>
      <c r="E23" s="59">
        <v>0</v>
      </c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>
        <f t="shared" si="16"/>
        <v>0</v>
      </c>
      <c r="Q23" s="9">
        <v>10</v>
      </c>
      <c r="R23" s="9">
        <f t="shared" si="15"/>
        <v>300</v>
      </c>
      <c r="S23" s="59">
        <f t="shared" si="1"/>
        <v>0</v>
      </c>
      <c r="T23" s="60">
        <v>30</v>
      </c>
      <c r="U23" s="61">
        <f t="shared" si="2"/>
        <v>0</v>
      </c>
      <c r="X23" s="62">
        <f t="shared" si="3"/>
        <v>0</v>
      </c>
      <c r="Y23" s="63">
        <f t="shared" si="4"/>
        <v>0</v>
      </c>
      <c r="Z23" s="63">
        <f t="shared" si="5"/>
        <v>0</v>
      </c>
      <c r="AA23" s="63">
        <f t="shared" si="6"/>
        <v>0</v>
      </c>
      <c r="AB23" s="63">
        <f t="shared" si="7"/>
        <v>0</v>
      </c>
      <c r="AC23" s="63">
        <f t="shared" si="8"/>
        <v>0</v>
      </c>
      <c r="AD23" s="63">
        <f t="shared" si="9"/>
        <v>0</v>
      </c>
      <c r="AE23" s="63">
        <f t="shared" si="10"/>
        <v>0</v>
      </c>
      <c r="AF23" s="63">
        <f t="shared" si="11"/>
        <v>0</v>
      </c>
      <c r="AG23" s="63">
        <f t="shared" si="12"/>
        <v>0</v>
      </c>
      <c r="AH23" s="63">
        <f t="shared" si="13"/>
        <v>0</v>
      </c>
      <c r="AI23" s="63">
        <f t="shared" si="14"/>
        <v>0</v>
      </c>
    </row>
    <row r="24" spans="1:35" s="62" customFormat="1" x14ac:dyDescent="0.3">
      <c r="A24" s="57" t="s">
        <v>36</v>
      </c>
      <c r="B24" s="58" t="s">
        <v>170</v>
      </c>
      <c r="C24" s="58" t="s">
        <v>142</v>
      </c>
      <c r="D24" s="58" t="s">
        <v>140</v>
      </c>
      <c r="E24" s="59">
        <v>26</v>
      </c>
      <c r="F24" s="59"/>
      <c r="G24" s="59"/>
      <c r="H24" s="59"/>
      <c r="I24" s="59">
        <v>26</v>
      </c>
      <c r="J24" s="59"/>
      <c r="K24" s="59"/>
      <c r="L24" s="59"/>
      <c r="M24" s="59"/>
      <c r="N24" s="59"/>
      <c r="O24" s="59"/>
      <c r="P24" s="59">
        <f t="shared" si="16"/>
        <v>26</v>
      </c>
      <c r="Q24" s="9">
        <v>25</v>
      </c>
      <c r="R24" s="9">
        <f t="shared" si="15"/>
        <v>625</v>
      </c>
      <c r="S24" s="59">
        <f t="shared" si="1"/>
        <v>0</v>
      </c>
      <c r="T24" s="60">
        <v>25</v>
      </c>
      <c r="U24" s="61">
        <f t="shared" si="2"/>
        <v>0</v>
      </c>
      <c r="X24" s="62">
        <f t="shared" si="3"/>
        <v>0</v>
      </c>
      <c r="Y24" s="63">
        <f t="shared" si="4"/>
        <v>0</v>
      </c>
      <c r="Z24" s="63">
        <f t="shared" si="5"/>
        <v>0</v>
      </c>
      <c r="AA24" s="63">
        <f t="shared" si="6"/>
        <v>650</v>
      </c>
      <c r="AB24" s="63">
        <f t="shared" si="7"/>
        <v>0</v>
      </c>
      <c r="AC24" s="63">
        <f t="shared" si="8"/>
        <v>0</v>
      </c>
      <c r="AD24" s="63">
        <f t="shared" si="9"/>
        <v>0</v>
      </c>
      <c r="AE24" s="63">
        <f t="shared" si="10"/>
        <v>0</v>
      </c>
      <c r="AF24" s="63">
        <f t="shared" si="11"/>
        <v>0</v>
      </c>
      <c r="AG24" s="63">
        <f t="shared" si="12"/>
        <v>0</v>
      </c>
      <c r="AH24" s="63">
        <f t="shared" si="13"/>
        <v>650</v>
      </c>
      <c r="AI24" s="63">
        <f t="shared" si="14"/>
        <v>0</v>
      </c>
    </row>
    <row r="25" spans="1:35" s="62" customFormat="1" x14ac:dyDescent="0.3">
      <c r="A25" s="57" t="s">
        <v>36</v>
      </c>
      <c r="B25" s="58" t="s">
        <v>171</v>
      </c>
      <c r="C25" s="58" t="s">
        <v>142</v>
      </c>
      <c r="D25" s="58" t="s">
        <v>141</v>
      </c>
      <c r="E25" s="59">
        <v>0</v>
      </c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>
        <f t="shared" si="16"/>
        <v>0</v>
      </c>
      <c r="Q25" s="9">
        <v>15</v>
      </c>
      <c r="R25" s="9">
        <f t="shared" si="15"/>
        <v>600</v>
      </c>
      <c r="S25" s="59">
        <f t="shared" si="1"/>
        <v>0</v>
      </c>
      <c r="T25" s="60">
        <v>40</v>
      </c>
      <c r="U25" s="61">
        <f t="shared" si="2"/>
        <v>0</v>
      </c>
      <c r="X25" s="62">
        <f t="shared" si="3"/>
        <v>0</v>
      </c>
      <c r="Y25" s="63">
        <f t="shared" si="4"/>
        <v>0</v>
      </c>
      <c r="Z25" s="63">
        <f t="shared" si="5"/>
        <v>0</v>
      </c>
      <c r="AA25" s="63">
        <f t="shared" si="6"/>
        <v>0</v>
      </c>
      <c r="AB25" s="63">
        <f t="shared" si="7"/>
        <v>0</v>
      </c>
      <c r="AC25" s="63">
        <f t="shared" si="8"/>
        <v>0</v>
      </c>
      <c r="AD25" s="63">
        <f t="shared" si="9"/>
        <v>0</v>
      </c>
      <c r="AE25" s="63">
        <f t="shared" si="10"/>
        <v>0</v>
      </c>
      <c r="AF25" s="63">
        <f t="shared" si="11"/>
        <v>0</v>
      </c>
      <c r="AG25" s="63">
        <f t="shared" si="12"/>
        <v>0</v>
      </c>
      <c r="AH25" s="63">
        <f t="shared" si="13"/>
        <v>0</v>
      </c>
      <c r="AI25" s="63">
        <f t="shared" si="14"/>
        <v>0</v>
      </c>
    </row>
    <row r="26" spans="1:35" s="62" customFormat="1" x14ac:dyDescent="0.3">
      <c r="A26" s="57" t="s">
        <v>36</v>
      </c>
      <c r="B26" s="58" t="s">
        <v>172</v>
      </c>
      <c r="C26" s="58" t="s">
        <v>142</v>
      </c>
      <c r="D26" s="58" t="s">
        <v>362</v>
      </c>
      <c r="E26" s="59">
        <v>0</v>
      </c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>
        <f t="shared" si="16"/>
        <v>0</v>
      </c>
      <c r="Q26" s="9">
        <v>25</v>
      </c>
      <c r="R26" s="9">
        <f t="shared" si="15"/>
        <v>875</v>
      </c>
      <c r="S26" s="59">
        <f t="shared" si="1"/>
        <v>0</v>
      </c>
      <c r="T26" s="60">
        <v>35</v>
      </c>
      <c r="U26" s="61">
        <f t="shared" si="2"/>
        <v>0</v>
      </c>
      <c r="X26" s="62">
        <f t="shared" si="3"/>
        <v>0</v>
      </c>
      <c r="Y26" s="63">
        <f t="shared" si="4"/>
        <v>0</v>
      </c>
      <c r="Z26" s="63">
        <f t="shared" si="5"/>
        <v>0</v>
      </c>
      <c r="AA26" s="63">
        <f t="shared" si="6"/>
        <v>0</v>
      </c>
      <c r="AB26" s="63">
        <f t="shared" si="7"/>
        <v>0</v>
      </c>
      <c r="AC26" s="63">
        <f t="shared" si="8"/>
        <v>0</v>
      </c>
      <c r="AD26" s="63">
        <f t="shared" si="9"/>
        <v>0</v>
      </c>
      <c r="AE26" s="63">
        <f t="shared" si="10"/>
        <v>0</v>
      </c>
      <c r="AF26" s="63">
        <f t="shared" si="11"/>
        <v>0</v>
      </c>
      <c r="AG26" s="63">
        <f t="shared" si="12"/>
        <v>0</v>
      </c>
      <c r="AH26" s="63">
        <f t="shared" si="13"/>
        <v>0</v>
      </c>
      <c r="AI26" s="63">
        <f t="shared" si="14"/>
        <v>0</v>
      </c>
    </row>
    <row r="27" spans="1:35" s="62" customFormat="1" x14ac:dyDescent="0.3">
      <c r="A27" s="57" t="s">
        <v>36</v>
      </c>
      <c r="B27" s="58" t="s">
        <v>351</v>
      </c>
      <c r="C27" s="58" t="s">
        <v>142</v>
      </c>
      <c r="D27" s="58" t="s">
        <v>352</v>
      </c>
      <c r="E27" s="59">
        <v>0</v>
      </c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>
        <f t="shared" si="16"/>
        <v>0</v>
      </c>
      <c r="Q27" s="9">
        <v>15</v>
      </c>
      <c r="R27" s="9">
        <f t="shared" si="15"/>
        <v>750</v>
      </c>
      <c r="S27" s="59">
        <f t="shared" si="1"/>
        <v>0</v>
      </c>
      <c r="T27" s="60">
        <v>50</v>
      </c>
      <c r="U27" s="61">
        <f t="shared" si="2"/>
        <v>0</v>
      </c>
      <c r="W27" s="62">
        <v>5</v>
      </c>
      <c r="X27" s="62">
        <f t="shared" si="3"/>
        <v>5</v>
      </c>
      <c r="Y27" s="63">
        <f t="shared" si="4"/>
        <v>0</v>
      </c>
      <c r="Z27" s="63">
        <f t="shared" si="5"/>
        <v>0</v>
      </c>
      <c r="AA27" s="63">
        <f t="shared" si="6"/>
        <v>0</v>
      </c>
      <c r="AB27" s="63">
        <f t="shared" si="7"/>
        <v>0</v>
      </c>
      <c r="AC27" s="63">
        <f t="shared" si="8"/>
        <v>0</v>
      </c>
      <c r="AD27" s="63">
        <f t="shared" si="9"/>
        <v>0</v>
      </c>
      <c r="AE27" s="63">
        <f t="shared" si="10"/>
        <v>0</v>
      </c>
      <c r="AF27" s="63">
        <f t="shared" si="11"/>
        <v>0</v>
      </c>
      <c r="AG27" s="63">
        <f t="shared" si="12"/>
        <v>0</v>
      </c>
      <c r="AH27" s="63">
        <f t="shared" si="13"/>
        <v>0</v>
      </c>
      <c r="AI27" s="63">
        <f t="shared" si="14"/>
        <v>0</v>
      </c>
    </row>
    <row r="28" spans="1:35" s="62" customFormat="1" x14ac:dyDescent="0.3">
      <c r="A28" s="57" t="s">
        <v>36</v>
      </c>
      <c r="B28" s="58" t="s">
        <v>173</v>
      </c>
      <c r="C28" s="58" t="s">
        <v>143</v>
      </c>
      <c r="D28" s="58" t="s">
        <v>66</v>
      </c>
      <c r="E28" s="59">
        <v>0</v>
      </c>
      <c r="F28" s="59">
        <v>5</v>
      </c>
      <c r="G28" s="59"/>
      <c r="H28" s="59"/>
      <c r="I28" s="59"/>
      <c r="J28" s="59"/>
      <c r="K28" s="59"/>
      <c r="L28" s="59"/>
      <c r="M28" s="59"/>
      <c r="N28" s="59"/>
      <c r="O28" s="59"/>
      <c r="P28" s="59">
        <f t="shared" si="16"/>
        <v>0</v>
      </c>
      <c r="Q28" s="9">
        <v>10</v>
      </c>
      <c r="R28" s="9">
        <f t="shared" si="15"/>
        <v>400</v>
      </c>
      <c r="S28" s="59">
        <f t="shared" si="1"/>
        <v>5</v>
      </c>
      <c r="T28" s="60">
        <v>40</v>
      </c>
      <c r="U28" s="61">
        <f t="shared" si="2"/>
        <v>200</v>
      </c>
      <c r="W28" s="62">
        <v>0</v>
      </c>
      <c r="X28" s="62">
        <f t="shared" si="3"/>
        <v>5</v>
      </c>
      <c r="Y28" s="63">
        <f t="shared" si="4"/>
        <v>0</v>
      </c>
      <c r="Z28" s="63">
        <f t="shared" si="5"/>
        <v>0</v>
      </c>
      <c r="AA28" s="63">
        <f t="shared" si="6"/>
        <v>0</v>
      </c>
      <c r="AB28" s="63">
        <f t="shared" si="7"/>
        <v>0</v>
      </c>
      <c r="AC28" s="63">
        <f t="shared" si="8"/>
        <v>0</v>
      </c>
      <c r="AD28" s="63">
        <f t="shared" si="9"/>
        <v>0</v>
      </c>
      <c r="AE28" s="63">
        <f t="shared" si="10"/>
        <v>0</v>
      </c>
      <c r="AF28" s="63">
        <f t="shared" si="11"/>
        <v>0</v>
      </c>
      <c r="AG28" s="63">
        <f t="shared" si="12"/>
        <v>0</v>
      </c>
      <c r="AH28" s="63">
        <f t="shared" si="13"/>
        <v>0</v>
      </c>
      <c r="AI28" s="63">
        <f t="shared" si="14"/>
        <v>200</v>
      </c>
    </row>
    <row r="29" spans="1:35" s="62" customFormat="1" x14ac:dyDescent="0.3">
      <c r="A29" s="57" t="s">
        <v>36</v>
      </c>
      <c r="B29" s="58" t="s">
        <v>174</v>
      </c>
      <c r="C29" s="58" t="s">
        <v>143</v>
      </c>
      <c r="D29" s="58" t="s">
        <v>42</v>
      </c>
      <c r="E29" s="59">
        <v>3</v>
      </c>
      <c r="F29" s="59">
        <v>10</v>
      </c>
      <c r="G29" s="59"/>
      <c r="H29" s="59"/>
      <c r="I29" s="59">
        <v>3</v>
      </c>
      <c r="J29" s="59"/>
      <c r="K29" s="59">
        <v>1</v>
      </c>
      <c r="L29" s="59"/>
      <c r="M29" s="59"/>
      <c r="N29" s="59"/>
      <c r="O29" s="59"/>
      <c r="P29" s="59">
        <f t="shared" si="16"/>
        <v>4</v>
      </c>
      <c r="Q29" s="9">
        <v>15</v>
      </c>
      <c r="R29" s="9">
        <f t="shared" si="15"/>
        <v>900</v>
      </c>
      <c r="S29" s="59">
        <f t="shared" si="1"/>
        <v>9</v>
      </c>
      <c r="T29" s="60">
        <v>60</v>
      </c>
      <c r="U29" s="61">
        <f t="shared" si="2"/>
        <v>540</v>
      </c>
      <c r="W29" s="62">
        <v>0</v>
      </c>
      <c r="X29" s="62">
        <f t="shared" si="3"/>
        <v>9</v>
      </c>
      <c r="Y29" s="63">
        <f t="shared" si="4"/>
        <v>0</v>
      </c>
      <c r="Z29" s="63">
        <f t="shared" si="5"/>
        <v>0</v>
      </c>
      <c r="AA29" s="63">
        <f t="shared" si="6"/>
        <v>180</v>
      </c>
      <c r="AB29" s="63">
        <f t="shared" si="7"/>
        <v>0</v>
      </c>
      <c r="AC29" s="63">
        <f t="shared" si="8"/>
        <v>60</v>
      </c>
      <c r="AD29" s="63">
        <f t="shared" si="9"/>
        <v>0</v>
      </c>
      <c r="AE29" s="63">
        <f t="shared" si="10"/>
        <v>0</v>
      </c>
      <c r="AF29" s="63">
        <f t="shared" si="11"/>
        <v>0</v>
      </c>
      <c r="AG29" s="63">
        <f t="shared" si="12"/>
        <v>0</v>
      </c>
      <c r="AH29" s="63">
        <f t="shared" si="13"/>
        <v>240</v>
      </c>
      <c r="AI29" s="63">
        <f t="shared" si="14"/>
        <v>540</v>
      </c>
    </row>
    <row r="30" spans="1:35" s="62" customFormat="1" x14ac:dyDescent="0.3">
      <c r="A30" s="57" t="s">
        <v>36</v>
      </c>
      <c r="B30" s="58" t="s">
        <v>175</v>
      </c>
      <c r="C30" s="58" t="s">
        <v>143</v>
      </c>
      <c r="D30" s="58" t="s">
        <v>43</v>
      </c>
      <c r="E30" s="59">
        <v>24</v>
      </c>
      <c r="F30" s="59"/>
      <c r="G30" s="59">
        <v>1</v>
      </c>
      <c r="H30" s="59"/>
      <c r="I30" s="59"/>
      <c r="J30" s="59"/>
      <c r="K30" s="59"/>
      <c r="L30" s="59"/>
      <c r="M30" s="59"/>
      <c r="N30" s="59"/>
      <c r="O30" s="59"/>
      <c r="P30" s="59">
        <f t="shared" si="16"/>
        <v>1</v>
      </c>
      <c r="Q30" s="9">
        <v>10</v>
      </c>
      <c r="R30" s="9">
        <f t="shared" si="15"/>
        <v>800</v>
      </c>
      <c r="S30" s="59">
        <f t="shared" si="1"/>
        <v>23</v>
      </c>
      <c r="T30" s="60">
        <v>80</v>
      </c>
      <c r="U30" s="61">
        <f t="shared" si="2"/>
        <v>1840</v>
      </c>
      <c r="W30" s="62">
        <v>0</v>
      </c>
      <c r="X30" s="62">
        <f t="shared" si="3"/>
        <v>23</v>
      </c>
      <c r="Y30" s="63">
        <f t="shared" si="4"/>
        <v>80</v>
      </c>
      <c r="Z30" s="63">
        <f t="shared" si="5"/>
        <v>0</v>
      </c>
      <c r="AA30" s="63">
        <f t="shared" si="6"/>
        <v>0</v>
      </c>
      <c r="AB30" s="63">
        <f t="shared" si="7"/>
        <v>0</v>
      </c>
      <c r="AC30" s="63">
        <f t="shared" si="8"/>
        <v>0</v>
      </c>
      <c r="AD30" s="63">
        <f t="shared" si="9"/>
        <v>0</v>
      </c>
      <c r="AE30" s="63">
        <f t="shared" si="10"/>
        <v>0</v>
      </c>
      <c r="AF30" s="63">
        <f t="shared" si="11"/>
        <v>0</v>
      </c>
      <c r="AG30" s="63">
        <f t="shared" si="12"/>
        <v>0</v>
      </c>
      <c r="AH30" s="63">
        <f t="shared" si="13"/>
        <v>80</v>
      </c>
      <c r="AI30" s="63">
        <f t="shared" si="14"/>
        <v>1840</v>
      </c>
    </row>
    <row r="31" spans="1:35" s="62" customFormat="1" x14ac:dyDescent="0.3">
      <c r="A31" s="57" t="s">
        <v>36</v>
      </c>
      <c r="B31" s="58" t="s">
        <v>177</v>
      </c>
      <c r="C31" s="58" t="s">
        <v>19</v>
      </c>
      <c r="D31" s="58" t="s">
        <v>367</v>
      </c>
      <c r="E31" s="59">
        <v>2</v>
      </c>
      <c r="F31" s="59"/>
      <c r="G31" s="59">
        <v>2</v>
      </c>
      <c r="H31" s="59"/>
      <c r="I31" s="59"/>
      <c r="J31" s="59"/>
      <c r="K31" s="59"/>
      <c r="L31" s="59"/>
      <c r="M31" s="59"/>
      <c r="N31" s="59"/>
      <c r="O31" s="59"/>
      <c r="P31" s="59">
        <f t="shared" si="16"/>
        <v>2</v>
      </c>
      <c r="Q31" s="9">
        <v>12</v>
      </c>
      <c r="R31" s="9">
        <f t="shared" si="15"/>
        <v>300</v>
      </c>
      <c r="S31" s="59">
        <f t="shared" si="1"/>
        <v>0</v>
      </c>
      <c r="T31" s="60">
        <v>25</v>
      </c>
      <c r="U31" s="61">
        <f t="shared" si="2"/>
        <v>0</v>
      </c>
      <c r="W31" s="62">
        <v>0</v>
      </c>
      <c r="X31" s="62">
        <f t="shared" si="3"/>
        <v>0</v>
      </c>
      <c r="Y31" s="63">
        <f t="shared" si="4"/>
        <v>50</v>
      </c>
      <c r="Z31" s="63">
        <f t="shared" si="5"/>
        <v>0</v>
      </c>
      <c r="AA31" s="63">
        <f t="shared" si="6"/>
        <v>0</v>
      </c>
      <c r="AB31" s="63">
        <f t="shared" si="7"/>
        <v>0</v>
      </c>
      <c r="AC31" s="63">
        <f t="shared" si="8"/>
        <v>0</v>
      </c>
      <c r="AD31" s="63">
        <f t="shared" si="9"/>
        <v>0</v>
      </c>
      <c r="AE31" s="63">
        <f t="shared" si="10"/>
        <v>0</v>
      </c>
      <c r="AF31" s="63">
        <f t="shared" si="11"/>
        <v>0</v>
      </c>
      <c r="AG31" s="63">
        <f t="shared" si="12"/>
        <v>0</v>
      </c>
      <c r="AH31" s="63">
        <f t="shared" si="13"/>
        <v>50</v>
      </c>
      <c r="AI31" s="63">
        <f t="shared" si="14"/>
        <v>0</v>
      </c>
    </row>
    <row r="32" spans="1:35" s="62" customFormat="1" x14ac:dyDescent="0.3">
      <c r="A32" s="57" t="s">
        <v>36</v>
      </c>
      <c r="B32" s="58" t="s">
        <v>178</v>
      </c>
      <c r="C32" s="58" t="s">
        <v>17</v>
      </c>
      <c r="D32" s="58" t="s">
        <v>363</v>
      </c>
      <c r="E32" s="59">
        <v>2</v>
      </c>
      <c r="F32" s="59"/>
      <c r="G32" s="59"/>
      <c r="H32" s="59"/>
      <c r="I32" s="59"/>
      <c r="J32" s="59">
        <v>1</v>
      </c>
      <c r="K32" s="59"/>
      <c r="L32" s="59"/>
      <c r="M32" s="59"/>
      <c r="N32" s="59">
        <v>1</v>
      </c>
      <c r="O32" s="59"/>
      <c r="P32" s="59">
        <f t="shared" si="16"/>
        <v>2</v>
      </c>
      <c r="Q32" s="9">
        <v>10</v>
      </c>
      <c r="R32" s="9">
        <f t="shared" si="15"/>
        <v>950</v>
      </c>
      <c r="S32" s="59">
        <f t="shared" si="1"/>
        <v>0</v>
      </c>
      <c r="T32" s="60">
        <v>95</v>
      </c>
      <c r="U32" s="61">
        <f t="shared" si="2"/>
        <v>0</v>
      </c>
      <c r="W32" s="62">
        <v>0</v>
      </c>
      <c r="X32" s="62">
        <f t="shared" si="3"/>
        <v>0</v>
      </c>
      <c r="Y32" s="63">
        <f t="shared" si="4"/>
        <v>0</v>
      </c>
      <c r="Z32" s="63">
        <f t="shared" si="5"/>
        <v>0</v>
      </c>
      <c r="AA32" s="63">
        <f t="shared" si="6"/>
        <v>0</v>
      </c>
      <c r="AB32" s="63">
        <f t="shared" si="7"/>
        <v>95</v>
      </c>
      <c r="AC32" s="63">
        <f t="shared" si="8"/>
        <v>0</v>
      </c>
      <c r="AD32" s="63">
        <f t="shared" si="9"/>
        <v>0</v>
      </c>
      <c r="AE32" s="63">
        <f t="shared" si="10"/>
        <v>0</v>
      </c>
      <c r="AF32" s="63">
        <f t="shared" si="11"/>
        <v>95</v>
      </c>
      <c r="AG32" s="63">
        <f t="shared" si="12"/>
        <v>0</v>
      </c>
      <c r="AH32" s="63">
        <f t="shared" si="13"/>
        <v>190</v>
      </c>
      <c r="AI32" s="63">
        <f t="shared" si="14"/>
        <v>0</v>
      </c>
    </row>
    <row r="33" spans="1:35" s="62" customFormat="1" x14ac:dyDescent="0.3">
      <c r="A33" s="57" t="s">
        <v>36</v>
      </c>
      <c r="B33" s="58" t="s">
        <v>179</v>
      </c>
      <c r="C33" s="58" t="s">
        <v>17</v>
      </c>
      <c r="D33" s="58" t="s">
        <v>364</v>
      </c>
      <c r="E33" s="59">
        <v>1</v>
      </c>
      <c r="F33" s="59"/>
      <c r="G33" s="59"/>
      <c r="H33" s="59"/>
      <c r="I33" s="59"/>
      <c r="J33" s="59"/>
      <c r="K33" s="59"/>
      <c r="L33" s="59"/>
      <c r="M33" s="59"/>
      <c r="N33" s="59">
        <v>1</v>
      </c>
      <c r="O33" s="59"/>
      <c r="P33" s="59">
        <f t="shared" si="16"/>
        <v>1</v>
      </c>
      <c r="Q33" s="9">
        <v>20</v>
      </c>
      <c r="R33" s="9">
        <f t="shared" si="15"/>
        <v>1700</v>
      </c>
      <c r="S33" s="59">
        <f t="shared" si="1"/>
        <v>0</v>
      </c>
      <c r="T33" s="60">
        <v>85</v>
      </c>
      <c r="U33" s="61">
        <f t="shared" si="2"/>
        <v>0</v>
      </c>
      <c r="X33" s="62">
        <f t="shared" si="3"/>
        <v>0</v>
      </c>
      <c r="Y33" s="63">
        <f t="shared" si="4"/>
        <v>0</v>
      </c>
      <c r="Z33" s="63">
        <f t="shared" si="5"/>
        <v>0</v>
      </c>
      <c r="AA33" s="63">
        <f t="shared" si="6"/>
        <v>0</v>
      </c>
      <c r="AB33" s="63">
        <f t="shared" si="7"/>
        <v>0</v>
      </c>
      <c r="AC33" s="63">
        <f t="shared" si="8"/>
        <v>0</v>
      </c>
      <c r="AD33" s="63">
        <f t="shared" si="9"/>
        <v>0</v>
      </c>
      <c r="AE33" s="63">
        <f t="shared" si="10"/>
        <v>0</v>
      </c>
      <c r="AF33" s="63">
        <f t="shared" si="11"/>
        <v>85</v>
      </c>
      <c r="AG33" s="63">
        <f t="shared" si="12"/>
        <v>0</v>
      </c>
      <c r="AH33" s="63">
        <f t="shared" si="13"/>
        <v>85</v>
      </c>
      <c r="AI33" s="63">
        <f t="shared" si="14"/>
        <v>0</v>
      </c>
    </row>
    <row r="34" spans="1:35" s="69" customFormat="1" x14ac:dyDescent="0.3">
      <c r="A34" s="64" t="s">
        <v>36</v>
      </c>
      <c r="B34" s="65" t="s">
        <v>79</v>
      </c>
      <c r="C34" s="65" t="s">
        <v>41</v>
      </c>
      <c r="D34" s="65" t="s">
        <v>64</v>
      </c>
      <c r="E34" s="66">
        <v>2</v>
      </c>
      <c r="F34" s="66">
        <v>10</v>
      </c>
      <c r="G34" s="66">
        <v>1</v>
      </c>
      <c r="H34" s="66"/>
      <c r="I34" s="66"/>
      <c r="J34" s="66"/>
      <c r="K34" s="66"/>
      <c r="L34" s="66"/>
      <c r="M34" s="66"/>
      <c r="N34" s="66"/>
      <c r="O34" s="66"/>
      <c r="P34" s="66">
        <f t="shared" si="0"/>
        <v>1</v>
      </c>
      <c r="Q34" s="9">
        <v>10</v>
      </c>
      <c r="R34" s="9">
        <f t="shared" si="15"/>
        <v>600</v>
      </c>
      <c r="S34" s="66">
        <f t="shared" si="1"/>
        <v>11</v>
      </c>
      <c r="T34" s="67">
        <v>60</v>
      </c>
      <c r="U34" s="68">
        <f t="shared" si="2"/>
        <v>660</v>
      </c>
      <c r="W34" s="69">
        <v>0</v>
      </c>
      <c r="X34" s="69">
        <f t="shared" si="3"/>
        <v>11</v>
      </c>
      <c r="Y34" s="70">
        <f t="shared" si="4"/>
        <v>60</v>
      </c>
      <c r="Z34" s="70">
        <f t="shared" si="5"/>
        <v>0</v>
      </c>
      <c r="AA34" s="70">
        <f t="shared" si="6"/>
        <v>0</v>
      </c>
      <c r="AB34" s="70">
        <f t="shared" si="7"/>
        <v>0</v>
      </c>
      <c r="AC34" s="70">
        <f t="shared" si="8"/>
        <v>0</v>
      </c>
      <c r="AD34" s="70">
        <f t="shared" si="9"/>
        <v>0</v>
      </c>
      <c r="AE34" s="70">
        <f t="shared" si="10"/>
        <v>0</v>
      </c>
      <c r="AF34" s="70">
        <f t="shared" si="11"/>
        <v>0</v>
      </c>
      <c r="AG34" s="70">
        <f t="shared" si="12"/>
        <v>0</v>
      </c>
      <c r="AH34" s="70">
        <f t="shared" si="13"/>
        <v>60</v>
      </c>
      <c r="AI34" s="70">
        <f t="shared" si="14"/>
        <v>660</v>
      </c>
    </row>
    <row r="35" spans="1:35" s="69" customFormat="1" x14ac:dyDescent="0.3">
      <c r="A35" s="64" t="s">
        <v>36</v>
      </c>
      <c r="B35" s="65" t="s">
        <v>80</v>
      </c>
      <c r="C35" s="65" t="s">
        <v>41</v>
      </c>
      <c r="D35" s="65" t="s">
        <v>65</v>
      </c>
      <c r="E35" s="66">
        <v>14</v>
      </c>
      <c r="F35" s="66">
        <v>30</v>
      </c>
      <c r="G35" s="66">
        <v>2</v>
      </c>
      <c r="H35" s="66"/>
      <c r="I35" s="66"/>
      <c r="J35" s="66"/>
      <c r="K35" s="66"/>
      <c r="L35" s="66">
        <v>1</v>
      </c>
      <c r="M35" s="66"/>
      <c r="N35" s="66"/>
      <c r="O35" s="66"/>
      <c r="P35" s="66">
        <f t="shared" si="0"/>
        <v>3</v>
      </c>
      <c r="Q35" s="9">
        <v>15</v>
      </c>
      <c r="R35" s="9">
        <f t="shared" si="15"/>
        <v>450</v>
      </c>
      <c r="S35" s="66">
        <f t="shared" si="1"/>
        <v>41</v>
      </c>
      <c r="T35" s="67">
        <v>30</v>
      </c>
      <c r="U35" s="68">
        <f t="shared" si="2"/>
        <v>1230</v>
      </c>
      <c r="W35" s="69">
        <v>0</v>
      </c>
      <c r="X35" s="69">
        <f t="shared" si="3"/>
        <v>41</v>
      </c>
      <c r="Y35" s="70">
        <f t="shared" si="4"/>
        <v>60</v>
      </c>
      <c r="Z35" s="70">
        <f t="shared" si="5"/>
        <v>0</v>
      </c>
      <c r="AA35" s="70">
        <f t="shared" si="6"/>
        <v>0</v>
      </c>
      <c r="AB35" s="70">
        <f t="shared" si="7"/>
        <v>0</v>
      </c>
      <c r="AC35" s="70">
        <f t="shared" si="8"/>
        <v>0</v>
      </c>
      <c r="AD35" s="70">
        <f t="shared" si="9"/>
        <v>30</v>
      </c>
      <c r="AE35" s="70">
        <f t="shared" si="10"/>
        <v>0</v>
      </c>
      <c r="AF35" s="70">
        <f t="shared" si="11"/>
        <v>0</v>
      </c>
      <c r="AG35" s="70">
        <f t="shared" si="12"/>
        <v>0</v>
      </c>
      <c r="AH35" s="70">
        <f t="shared" si="13"/>
        <v>90</v>
      </c>
      <c r="AI35" s="70">
        <f t="shared" si="14"/>
        <v>1230</v>
      </c>
    </row>
    <row r="36" spans="1:35" s="69" customFormat="1" x14ac:dyDescent="0.3">
      <c r="A36" s="64" t="s">
        <v>36</v>
      </c>
      <c r="B36" s="65" t="s">
        <v>81</v>
      </c>
      <c r="C36" s="65" t="s">
        <v>41</v>
      </c>
      <c r="D36" s="65" t="s">
        <v>40</v>
      </c>
      <c r="E36" s="66">
        <v>0</v>
      </c>
      <c r="F36" s="66">
        <v>20</v>
      </c>
      <c r="G36" s="66">
        <v>1</v>
      </c>
      <c r="H36" s="66"/>
      <c r="I36" s="66"/>
      <c r="J36" s="66"/>
      <c r="K36" s="66"/>
      <c r="L36" s="66"/>
      <c r="M36" s="66"/>
      <c r="N36" s="66"/>
      <c r="O36" s="66"/>
      <c r="P36" s="66">
        <f t="shared" si="0"/>
        <v>1</v>
      </c>
      <c r="Q36" s="9">
        <v>15</v>
      </c>
      <c r="R36" s="9">
        <f t="shared" si="15"/>
        <v>225</v>
      </c>
      <c r="S36" s="66">
        <f t="shared" si="1"/>
        <v>19</v>
      </c>
      <c r="T36" s="67">
        <v>15</v>
      </c>
      <c r="U36" s="68">
        <f t="shared" si="2"/>
        <v>285</v>
      </c>
      <c r="W36" s="69">
        <v>0</v>
      </c>
      <c r="X36" s="69">
        <f t="shared" si="3"/>
        <v>19</v>
      </c>
      <c r="Y36" s="70">
        <f t="shared" si="4"/>
        <v>15</v>
      </c>
      <c r="Z36" s="70">
        <f t="shared" si="5"/>
        <v>0</v>
      </c>
      <c r="AA36" s="70">
        <f t="shared" si="6"/>
        <v>0</v>
      </c>
      <c r="AB36" s="70">
        <f t="shared" si="7"/>
        <v>0</v>
      </c>
      <c r="AC36" s="70">
        <f t="shared" si="8"/>
        <v>0</v>
      </c>
      <c r="AD36" s="70">
        <f t="shared" si="9"/>
        <v>0</v>
      </c>
      <c r="AE36" s="70">
        <f t="shared" si="10"/>
        <v>0</v>
      </c>
      <c r="AF36" s="70">
        <f t="shared" si="11"/>
        <v>0</v>
      </c>
      <c r="AG36" s="70">
        <f t="shared" si="12"/>
        <v>0</v>
      </c>
      <c r="AH36" s="70">
        <f t="shared" si="13"/>
        <v>15</v>
      </c>
      <c r="AI36" s="70">
        <f t="shared" si="14"/>
        <v>285</v>
      </c>
    </row>
    <row r="37" spans="1:35" s="69" customFormat="1" x14ac:dyDescent="0.3">
      <c r="A37" s="64" t="s">
        <v>36</v>
      </c>
      <c r="B37" s="65" t="s">
        <v>82</v>
      </c>
      <c r="C37" s="65" t="s">
        <v>18</v>
      </c>
      <c r="D37" s="65" t="s">
        <v>4</v>
      </c>
      <c r="E37" s="66">
        <v>0</v>
      </c>
      <c r="F37" s="66">
        <v>20</v>
      </c>
      <c r="G37" s="66">
        <v>1</v>
      </c>
      <c r="H37" s="66">
        <v>1</v>
      </c>
      <c r="I37" s="66"/>
      <c r="J37" s="66"/>
      <c r="K37" s="66"/>
      <c r="L37" s="66"/>
      <c r="M37" s="66"/>
      <c r="N37" s="66"/>
      <c r="O37" s="66"/>
      <c r="P37" s="66">
        <f t="shared" si="0"/>
        <v>2</v>
      </c>
      <c r="Q37" s="9">
        <v>17</v>
      </c>
      <c r="R37" s="9">
        <f t="shared" si="15"/>
        <v>425</v>
      </c>
      <c r="S37" s="66">
        <f t="shared" si="1"/>
        <v>18</v>
      </c>
      <c r="T37" s="67">
        <v>25</v>
      </c>
      <c r="U37" s="68">
        <f t="shared" si="2"/>
        <v>450</v>
      </c>
      <c r="W37" s="66"/>
      <c r="X37" s="69">
        <f t="shared" si="3"/>
        <v>18</v>
      </c>
      <c r="Y37" s="70">
        <f t="shared" si="4"/>
        <v>25</v>
      </c>
      <c r="Z37" s="70">
        <f t="shared" si="5"/>
        <v>25</v>
      </c>
      <c r="AA37" s="70">
        <f t="shared" si="6"/>
        <v>0</v>
      </c>
      <c r="AB37" s="70">
        <f t="shared" si="7"/>
        <v>0</v>
      </c>
      <c r="AC37" s="70">
        <f t="shared" si="8"/>
        <v>0</v>
      </c>
      <c r="AD37" s="70">
        <f t="shared" si="9"/>
        <v>0</v>
      </c>
      <c r="AE37" s="70">
        <f t="shared" si="10"/>
        <v>0</v>
      </c>
      <c r="AF37" s="70">
        <f t="shared" si="11"/>
        <v>0</v>
      </c>
      <c r="AG37" s="70">
        <f t="shared" si="12"/>
        <v>0</v>
      </c>
      <c r="AH37" s="70">
        <f t="shared" si="13"/>
        <v>50</v>
      </c>
      <c r="AI37" s="70">
        <f t="shared" si="14"/>
        <v>450</v>
      </c>
    </row>
    <row r="38" spans="1:35" s="69" customFormat="1" x14ac:dyDescent="0.3">
      <c r="A38" s="64" t="s">
        <v>36</v>
      </c>
      <c r="B38" s="65" t="s">
        <v>83</v>
      </c>
      <c r="C38" s="65" t="s">
        <v>18</v>
      </c>
      <c r="D38" s="65" t="s">
        <v>5</v>
      </c>
      <c r="E38" s="66">
        <v>0</v>
      </c>
      <c r="F38" s="66">
        <v>30</v>
      </c>
      <c r="G38" s="66">
        <v>2</v>
      </c>
      <c r="H38" s="66"/>
      <c r="I38" s="66"/>
      <c r="J38" s="66"/>
      <c r="K38" s="66"/>
      <c r="L38" s="66"/>
      <c r="M38" s="66"/>
      <c r="N38" s="66"/>
      <c r="O38" s="66"/>
      <c r="P38" s="66">
        <f t="shared" si="0"/>
        <v>2</v>
      </c>
      <c r="Q38" s="9">
        <v>21</v>
      </c>
      <c r="R38" s="9">
        <f t="shared" si="15"/>
        <v>273</v>
      </c>
      <c r="S38" s="66">
        <f t="shared" si="1"/>
        <v>28</v>
      </c>
      <c r="T38" s="67">
        <v>13</v>
      </c>
      <c r="U38" s="68">
        <f t="shared" si="2"/>
        <v>364</v>
      </c>
      <c r="W38" s="66"/>
      <c r="X38" s="69">
        <f t="shared" si="3"/>
        <v>28</v>
      </c>
      <c r="Y38" s="70">
        <f t="shared" si="4"/>
        <v>26</v>
      </c>
      <c r="Z38" s="70">
        <f t="shared" si="5"/>
        <v>0</v>
      </c>
      <c r="AA38" s="70">
        <f t="shared" si="6"/>
        <v>0</v>
      </c>
      <c r="AB38" s="70">
        <f t="shared" si="7"/>
        <v>0</v>
      </c>
      <c r="AC38" s="70">
        <f t="shared" si="8"/>
        <v>0</v>
      </c>
      <c r="AD38" s="70">
        <f t="shared" si="9"/>
        <v>0</v>
      </c>
      <c r="AE38" s="70">
        <f t="shared" si="10"/>
        <v>0</v>
      </c>
      <c r="AF38" s="70">
        <f t="shared" si="11"/>
        <v>0</v>
      </c>
      <c r="AG38" s="70">
        <f t="shared" si="12"/>
        <v>0</v>
      </c>
      <c r="AH38" s="70">
        <f t="shared" si="13"/>
        <v>26</v>
      </c>
      <c r="AI38" s="70">
        <f t="shared" si="14"/>
        <v>364</v>
      </c>
    </row>
    <row r="39" spans="1:35" s="69" customFormat="1" x14ac:dyDescent="0.3">
      <c r="A39" s="64" t="s">
        <v>36</v>
      </c>
      <c r="B39" s="65" t="s">
        <v>84</v>
      </c>
      <c r="C39" s="65" t="s">
        <v>18</v>
      </c>
      <c r="D39" s="65" t="s">
        <v>348</v>
      </c>
      <c r="E39" s="66">
        <v>43</v>
      </c>
      <c r="F39" s="66"/>
      <c r="G39" s="66">
        <v>1</v>
      </c>
      <c r="H39" s="66">
        <v>1</v>
      </c>
      <c r="I39" s="66"/>
      <c r="J39" s="66"/>
      <c r="K39" s="66"/>
      <c r="L39" s="66"/>
      <c r="M39" s="66"/>
      <c r="N39" s="66">
        <v>4</v>
      </c>
      <c r="O39" s="66"/>
      <c r="P39" s="66">
        <f t="shared" si="0"/>
        <v>6</v>
      </c>
      <c r="Q39" s="9">
        <v>24</v>
      </c>
      <c r="R39" s="9">
        <f t="shared" si="15"/>
        <v>1320</v>
      </c>
      <c r="S39" s="66">
        <f t="shared" si="1"/>
        <v>37</v>
      </c>
      <c r="T39" s="67">
        <v>55</v>
      </c>
      <c r="U39" s="68">
        <f t="shared" si="2"/>
        <v>2035</v>
      </c>
      <c r="X39" s="69">
        <f t="shared" si="3"/>
        <v>37</v>
      </c>
      <c r="Y39" s="70">
        <f t="shared" si="4"/>
        <v>55</v>
      </c>
      <c r="Z39" s="70">
        <f t="shared" si="5"/>
        <v>55</v>
      </c>
      <c r="AA39" s="70">
        <f t="shared" si="6"/>
        <v>0</v>
      </c>
      <c r="AB39" s="70">
        <f t="shared" si="7"/>
        <v>0</v>
      </c>
      <c r="AC39" s="70">
        <f t="shared" si="8"/>
        <v>0</v>
      </c>
      <c r="AD39" s="70">
        <f t="shared" si="9"/>
        <v>0</v>
      </c>
      <c r="AE39" s="70">
        <f t="shared" si="10"/>
        <v>0</v>
      </c>
      <c r="AF39" s="70">
        <f t="shared" si="11"/>
        <v>220</v>
      </c>
      <c r="AG39" s="70">
        <f t="shared" si="12"/>
        <v>0</v>
      </c>
      <c r="AH39" s="70">
        <f t="shared" si="13"/>
        <v>330</v>
      </c>
      <c r="AI39" s="70">
        <f t="shared" si="14"/>
        <v>2035</v>
      </c>
    </row>
    <row r="40" spans="1:35" s="69" customFormat="1" x14ac:dyDescent="0.3">
      <c r="A40" s="64" t="s">
        <v>36</v>
      </c>
      <c r="B40" s="65" t="s">
        <v>86</v>
      </c>
      <c r="C40" s="65" t="s">
        <v>20</v>
      </c>
      <c r="D40" s="65" t="s">
        <v>361</v>
      </c>
      <c r="E40" s="66">
        <v>2</v>
      </c>
      <c r="F40" s="66">
        <v>12</v>
      </c>
      <c r="G40" s="66">
        <v>1</v>
      </c>
      <c r="H40" s="66"/>
      <c r="I40" s="66">
        <v>1</v>
      </c>
      <c r="J40" s="66"/>
      <c r="K40" s="66"/>
      <c r="L40" s="66"/>
      <c r="M40" s="66"/>
      <c r="N40" s="66"/>
      <c r="O40" s="66">
        <v>1</v>
      </c>
      <c r="P40" s="66">
        <f t="shared" ref="P40:P48" si="17">SUM(G40:O40)</f>
        <v>3</v>
      </c>
      <c r="Q40" s="9">
        <v>12</v>
      </c>
      <c r="R40" s="9">
        <f t="shared" si="15"/>
        <v>720</v>
      </c>
      <c r="S40" s="66">
        <f t="shared" si="1"/>
        <v>11</v>
      </c>
      <c r="T40" s="67">
        <v>60</v>
      </c>
      <c r="U40" s="68">
        <f t="shared" si="2"/>
        <v>660</v>
      </c>
      <c r="W40" s="66">
        <v>0</v>
      </c>
      <c r="X40" s="69">
        <f t="shared" si="3"/>
        <v>11</v>
      </c>
      <c r="Y40" s="70">
        <f t="shared" si="4"/>
        <v>60</v>
      </c>
      <c r="Z40" s="70">
        <f t="shared" si="5"/>
        <v>0</v>
      </c>
      <c r="AA40" s="70">
        <f t="shared" si="6"/>
        <v>60</v>
      </c>
      <c r="AB40" s="70">
        <f t="shared" si="7"/>
        <v>0</v>
      </c>
      <c r="AC40" s="70">
        <f t="shared" si="8"/>
        <v>0</v>
      </c>
      <c r="AD40" s="70">
        <f t="shared" si="9"/>
        <v>0</v>
      </c>
      <c r="AE40" s="70">
        <f t="shared" si="10"/>
        <v>0</v>
      </c>
      <c r="AF40" s="70">
        <f t="shared" si="11"/>
        <v>0</v>
      </c>
      <c r="AG40" s="70">
        <f t="shared" si="12"/>
        <v>60</v>
      </c>
      <c r="AH40" s="70">
        <f t="shared" si="13"/>
        <v>180</v>
      </c>
      <c r="AI40" s="70">
        <f t="shared" si="14"/>
        <v>660</v>
      </c>
    </row>
    <row r="41" spans="1:35" s="69" customFormat="1" x14ac:dyDescent="0.3">
      <c r="A41" s="64" t="s">
        <v>37</v>
      </c>
      <c r="B41" s="65" t="s">
        <v>89</v>
      </c>
      <c r="C41" s="65" t="s">
        <v>17</v>
      </c>
      <c r="D41" s="65" t="s">
        <v>144</v>
      </c>
      <c r="E41" s="66">
        <v>0</v>
      </c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>
        <f t="shared" si="17"/>
        <v>0</v>
      </c>
      <c r="Q41" s="9">
        <v>5</v>
      </c>
      <c r="R41" s="9">
        <f t="shared" si="15"/>
        <v>2000</v>
      </c>
      <c r="S41" s="66">
        <f t="shared" si="1"/>
        <v>0</v>
      </c>
      <c r="T41" s="67">
        <v>400</v>
      </c>
      <c r="U41" s="68">
        <f t="shared" si="2"/>
        <v>0</v>
      </c>
      <c r="W41" s="66">
        <v>0</v>
      </c>
      <c r="X41" s="69">
        <f t="shared" si="3"/>
        <v>0</v>
      </c>
      <c r="Y41" s="70">
        <f t="shared" si="4"/>
        <v>0</v>
      </c>
      <c r="Z41" s="70">
        <f t="shared" si="5"/>
        <v>0</v>
      </c>
      <c r="AA41" s="70">
        <f t="shared" si="6"/>
        <v>0</v>
      </c>
      <c r="AB41" s="70">
        <f t="shared" si="7"/>
        <v>0</v>
      </c>
      <c r="AC41" s="70">
        <f t="shared" si="8"/>
        <v>0</v>
      </c>
      <c r="AD41" s="70">
        <f t="shared" si="9"/>
        <v>0</v>
      </c>
      <c r="AE41" s="70">
        <f t="shared" si="10"/>
        <v>0</v>
      </c>
      <c r="AF41" s="70">
        <f t="shared" si="11"/>
        <v>0</v>
      </c>
      <c r="AG41" s="70">
        <f t="shared" si="12"/>
        <v>0</v>
      </c>
      <c r="AH41" s="70">
        <f t="shared" si="13"/>
        <v>0</v>
      </c>
      <c r="AI41" s="70">
        <f t="shared" si="14"/>
        <v>0</v>
      </c>
    </row>
    <row r="42" spans="1:35" s="69" customFormat="1" x14ac:dyDescent="0.3">
      <c r="A42" s="64" t="s">
        <v>37</v>
      </c>
      <c r="B42" s="65" t="s">
        <v>184</v>
      </c>
      <c r="C42" s="65" t="s">
        <v>17</v>
      </c>
      <c r="D42" s="65" t="s">
        <v>146</v>
      </c>
      <c r="E42" s="66">
        <v>0</v>
      </c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>
        <f t="shared" si="17"/>
        <v>0</v>
      </c>
      <c r="Q42" s="9">
        <v>2</v>
      </c>
      <c r="R42" s="9">
        <f t="shared" si="15"/>
        <v>130</v>
      </c>
      <c r="S42" s="66">
        <f t="shared" si="1"/>
        <v>0</v>
      </c>
      <c r="T42" s="67">
        <v>65</v>
      </c>
      <c r="U42" s="68">
        <f t="shared" si="2"/>
        <v>0</v>
      </c>
      <c r="W42" s="66">
        <v>4</v>
      </c>
      <c r="X42" s="69">
        <f t="shared" si="3"/>
        <v>4</v>
      </c>
      <c r="Y42" s="70">
        <f t="shared" si="4"/>
        <v>0</v>
      </c>
      <c r="Z42" s="70">
        <f t="shared" si="5"/>
        <v>0</v>
      </c>
      <c r="AA42" s="70">
        <f t="shared" si="6"/>
        <v>0</v>
      </c>
      <c r="AB42" s="70">
        <f t="shared" si="7"/>
        <v>0</v>
      </c>
      <c r="AC42" s="70">
        <f t="shared" si="8"/>
        <v>0</v>
      </c>
      <c r="AD42" s="70">
        <f t="shared" si="9"/>
        <v>0</v>
      </c>
      <c r="AE42" s="70">
        <f t="shared" si="10"/>
        <v>0</v>
      </c>
      <c r="AF42" s="70">
        <f t="shared" si="11"/>
        <v>0</v>
      </c>
      <c r="AG42" s="70">
        <f t="shared" si="12"/>
        <v>0</v>
      </c>
      <c r="AH42" s="70">
        <f t="shared" si="13"/>
        <v>0</v>
      </c>
      <c r="AI42" s="70">
        <f t="shared" si="14"/>
        <v>0</v>
      </c>
    </row>
    <row r="43" spans="1:35" s="69" customFormat="1" x14ac:dyDescent="0.3">
      <c r="A43" s="64" t="s">
        <v>36</v>
      </c>
      <c r="B43" s="65" t="s">
        <v>90</v>
      </c>
      <c r="C43" s="65" t="s">
        <v>22</v>
      </c>
      <c r="D43" s="65" t="s">
        <v>195</v>
      </c>
      <c r="E43" s="66">
        <v>0</v>
      </c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>
        <f t="shared" si="17"/>
        <v>0</v>
      </c>
      <c r="Q43" s="9">
        <v>6</v>
      </c>
      <c r="R43" s="9">
        <f t="shared" si="15"/>
        <v>180</v>
      </c>
      <c r="S43" s="66">
        <f t="shared" ref="S43:S59" si="18">E43+F43-P43</f>
        <v>0</v>
      </c>
      <c r="T43" s="67">
        <v>30</v>
      </c>
      <c r="U43" s="68">
        <f t="shared" si="2"/>
        <v>0</v>
      </c>
      <c r="W43" s="66"/>
      <c r="X43" s="69">
        <f t="shared" si="3"/>
        <v>0</v>
      </c>
      <c r="Y43" s="70">
        <f t="shared" ref="Y43:Y60" si="19">G43*$T43</f>
        <v>0</v>
      </c>
      <c r="Z43" s="70">
        <f t="shared" ref="Z43:Z60" si="20">H43*$T43</f>
        <v>0</v>
      </c>
      <c r="AA43" s="70">
        <f t="shared" ref="AA43:AA60" si="21">I43*$T43</f>
        <v>0</v>
      </c>
      <c r="AB43" s="70">
        <f t="shared" ref="AB43:AB60" si="22">J43*$T43</f>
        <v>0</v>
      </c>
      <c r="AC43" s="70">
        <f t="shared" ref="AC43:AC60" si="23">K43*$T43</f>
        <v>0</v>
      </c>
      <c r="AD43" s="70">
        <f t="shared" ref="AD43:AD60" si="24">L43*$T43</f>
        <v>0</v>
      </c>
      <c r="AE43" s="70">
        <f t="shared" ref="AE43:AE60" si="25">M43*$T43</f>
        <v>0</v>
      </c>
      <c r="AF43" s="70">
        <f t="shared" ref="AF43:AF60" si="26">N43*$T43</f>
        <v>0</v>
      </c>
      <c r="AG43" s="70">
        <f t="shared" ref="AG43:AG60" si="27">O43*$T43</f>
        <v>0</v>
      </c>
      <c r="AH43" s="70">
        <f t="shared" ref="AH43:AH60" si="28">P43*$T43</f>
        <v>0</v>
      </c>
      <c r="AI43" s="70">
        <f t="shared" ref="AI43:AI60" si="29">S43*$T43</f>
        <v>0</v>
      </c>
    </row>
    <row r="44" spans="1:35" s="69" customFormat="1" x14ac:dyDescent="0.3">
      <c r="A44" s="64" t="s">
        <v>36</v>
      </c>
      <c r="B44" s="65" t="s">
        <v>189</v>
      </c>
      <c r="C44" s="65" t="s">
        <v>22</v>
      </c>
      <c r="D44" s="65" t="s">
        <v>196</v>
      </c>
      <c r="E44" s="66">
        <v>0</v>
      </c>
      <c r="F44" s="66">
        <v>5</v>
      </c>
      <c r="G44" s="66"/>
      <c r="H44" s="66"/>
      <c r="I44" s="66">
        <v>1</v>
      </c>
      <c r="J44" s="66"/>
      <c r="K44" s="66"/>
      <c r="L44" s="66"/>
      <c r="M44" s="66"/>
      <c r="N44" s="66"/>
      <c r="O44" s="66"/>
      <c r="P44" s="66">
        <f t="shared" si="17"/>
        <v>1</v>
      </c>
      <c r="Q44" s="9">
        <v>15</v>
      </c>
      <c r="R44" s="9">
        <f t="shared" si="15"/>
        <v>600</v>
      </c>
      <c r="S44" s="66">
        <f t="shared" si="18"/>
        <v>4</v>
      </c>
      <c r="T44" s="67">
        <v>40</v>
      </c>
      <c r="U44" s="68">
        <f t="shared" si="2"/>
        <v>160</v>
      </c>
      <c r="W44" s="66"/>
      <c r="X44" s="69">
        <f t="shared" si="3"/>
        <v>4</v>
      </c>
      <c r="Y44" s="70">
        <f t="shared" si="19"/>
        <v>0</v>
      </c>
      <c r="Z44" s="70">
        <f t="shared" si="20"/>
        <v>0</v>
      </c>
      <c r="AA44" s="70">
        <f t="shared" si="21"/>
        <v>40</v>
      </c>
      <c r="AB44" s="70">
        <f t="shared" si="22"/>
        <v>0</v>
      </c>
      <c r="AC44" s="70">
        <f t="shared" si="23"/>
        <v>0</v>
      </c>
      <c r="AD44" s="70">
        <f t="shared" si="24"/>
        <v>0</v>
      </c>
      <c r="AE44" s="70">
        <f t="shared" si="25"/>
        <v>0</v>
      </c>
      <c r="AF44" s="70">
        <f t="shared" si="26"/>
        <v>0</v>
      </c>
      <c r="AG44" s="70">
        <f t="shared" si="27"/>
        <v>0</v>
      </c>
      <c r="AH44" s="70">
        <f t="shared" si="28"/>
        <v>40</v>
      </c>
      <c r="AI44" s="70">
        <f t="shared" si="29"/>
        <v>160</v>
      </c>
    </row>
    <row r="45" spans="1:35" s="69" customFormat="1" x14ac:dyDescent="0.3">
      <c r="A45" s="64" t="s">
        <v>36</v>
      </c>
      <c r="B45" s="65" t="s">
        <v>190</v>
      </c>
      <c r="C45" s="65" t="s">
        <v>22</v>
      </c>
      <c r="D45" s="65" t="s">
        <v>197</v>
      </c>
      <c r="E45" s="66">
        <v>3</v>
      </c>
      <c r="F45" s="66"/>
      <c r="G45" s="66"/>
      <c r="H45" s="66"/>
      <c r="I45" s="66">
        <v>2</v>
      </c>
      <c r="J45" s="66"/>
      <c r="K45" s="66"/>
      <c r="L45" s="66"/>
      <c r="M45" s="66">
        <v>1</v>
      </c>
      <c r="N45" s="66"/>
      <c r="O45" s="66"/>
      <c r="P45" s="66">
        <f t="shared" si="17"/>
        <v>3</v>
      </c>
      <c r="Q45" s="9">
        <v>10</v>
      </c>
      <c r="R45" s="9">
        <f t="shared" si="15"/>
        <v>600</v>
      </c>
      <c r="S45" s="66">
        <f t="shared" si="18"/>
        <v>0</v>
      </c>
      <c r="T45" s="67">
        <v>60</v>
      </c>
      <c r="U45" s="68">
        <f t="shared" si="2"/>
        <v>0</v>
      </c>
      <c r="W45" s="66">
        <v>3</v>
      </c>
      <c r="X45" s="69">
        <f t="shared" si="3"/>
        <v>3</v>
      </c>
      <c r="Y45" s="70">
        <f t="shared" si="19"/>
        <v>0</v>
      </c>
      <c r="Z45" s="70">
        <f t="shared" si="20"/>
        <v>0</v>
      </c>
      <c r="AA45" s="70">
        <f t="shared" si="21"/>
        <v>120</v>
      </c>
      <c r="AB45" s="70">
        <f t="shared" si="22"/>
        <v>0</v>
      </c>
      <c r="AC45" s="70">
        <f t="shared" si="23"/>
        <v>0</v>
      </c>
      <c r="AD45" s="70">
        <f t="shared" si="24"/>
        <v>0</v>
      </c>
      <c r="AE45" s="70">
        <f t="shared" si="25"/>
        <v>60</v>
      </c>
      <c r="AF45" s="70">
        <f t="shared" si="26"/>
        <v>0</v>
      </c>
      <c r="AG45" s="70">
        <f t="shared" si="27"/>
        <v>0</v>
      </c>
      <c r="AH45" s="70">
        <f t="shared" si="28"/>
        <v>180</v>
      </c>
      <c r="AI45" s="70">
        <f t="shared" si="29"/>
        <v>0</v>
      </c>
    </row>
    <row r="46" spans="1:35" s="69" customFormat="1" x14ac:dyDescent="0.3">
      <c r="A46" s="64" t="s">
        <v>36</v>
      </c>
      <c r="B46" s="65" t="s">
        <v>191</v>
      </c>
      <c r="C46" s="65" t="s">
        <v>22</v>
      </c>
      <c r="D46" s="65" t="s">
        <v>198</v>
      </c>
      <c r="E46" s="66">
        <v>0</v>
      </c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>
        <f t="shared" si="17"/>
        <v>0</v>
      </c>
      <c r="Q46" s="9">
        <v>20</v>
      </c>
      <c r="R46" s="9">
        <f t="shared" si="15"/>
        <v>800</v>
      </c>
      <c r="S46" s="66">
        <f t="shared" si="18"/>
        <v>0</v>
      </c>
      <c r="T46" s="67">
        <v>40</v>
      </c>
      <c r="U46" s="68">
        <f t="shared" si="2"/>
        <v>0</v>
      </c>
      <c r="W46" s="66"/>
      <c r="X46" s="69">
        <f t="shared" si="3"/>
        <v>0</v>
      </c>
      <c r="Y46" s="70">
        <f t="shared" si="19"/>
        <v>0</v>
      </c>
      <c r="Z46" s="70">
        <f t="shared" si="20"/>
        <v>0</v>
      </c>
      <c r="AA46" s="70">
        <f t="shared" si="21"/>
        <v>0</v>
      </c>
      <c r="AB46" s="70">
        <f t="shared" si="22"/>
        <v>0</v>
      </c>
      <c r="AC46" s="70">
        <f t="shared" si="23"/>
        <v>0</v>
      </c>
      <c r="AD46" s="70">
        <f t="shared" si="24"/>
        <v>0</v>
      </c>
      <c r="AE46" s="70">
        <f t="shared" si="25"/>
        <v>0</v>
      </c>
      <c r="AF46" s="70">
        <f t="shared" si="26"/>
        <v>0</v>
      </c>
      <c r="AG46" s="70">
        <f t="shared" si="27"/>
        <v>0</v>
      </c>
      <c r="AH46" s="70">
        <f t="shared" si="28"/>
        <v>0</v>
      </c>
      <c r="AI46" s="70">
        <f t="shared" si="29"/>
        <v>0</v>
      </c>
    </row>
    <row r="47" spans="1:35" s="69" customFormat="1" x14ac:dyDescent="0.3">
      <c r="A47" s="64" t="s">
        <v>36</v>
      </c>
      <c r="B47" s="65" t="s">
        <v>192</v>
      </c>
      <c r="C47" s="65" t="s">
        <v>22</v>
      </c>
      <c r="D47" s="65" t="s">
        <v>199</v>
      </c>
      <c r="E47" s="66">
        <v>0</v>
      </c>
      <c r="F47" s="66">
        <v>5</v>
      </c>
      <c r="G47" s="66">
        <v>1</v>
      </c>
      <c r="H47" s="66"/>
      <c r="I47" s="66">
        <v>1</v>
      </c>
      <c r="J47" s="66"/>
      <c r="K47" s="66">
        <v>1</v>
      </c>
      <c r="L47" s="66"/>
      <c r="M47" s="66"/>
      <c r="N47" s="66"/>
      <c r="O47" s="66">
        <v>1</v>
      </c>
      <c r="P47" s="66">
        <f t="shared" si="17"/>
        <v>4</v>
      </c>
      <c r="Q47" s="9">
        <v>20</v>
      </c>
      <c r="R47" s="9">
        <f t="shared" si="15"/>
        <v>1200</v>
      </c>
      <c r="S47" s="66">
        <f t="shared" si="18"/>
        <v>1</v>
      </c>
      <c r="T47" s="67">
        <v>60</v>
      </c>
      <c r="U47" s="68">
        <f t="shared" si="2"/>
        <v>60</v>
      </c>
      <c r="W47" s="66"/>
      <c r="X47" s="69">
        <f t="shared" si="3"/>
        <v>1</v>
      </c>
      <c r="Y47" s="70">
        <f t="shared" si="19"/>
        <v>60</v>
      </c>
      <c r="Z47" s="70">
        <f t="shared" si="20"/>
        <v>0</v>
      </c>
      <c r="AA47" s="70">
        <f t="shared" si="21"/>
        <v>60</v>
      </c>
      <c r="AB47" s="70">
        <f t="shared" si="22"/>
        <v>0</v>
      </c>
      <c r="AC47" s="70">
        <f t="shared" si="23"/>
        <v>60</v>
      </c>
      <c r="AD47" s="70">
        <f t="shared" si="24"/>
        <v>0</v>
      </c>
      <c r="AE47" s="70">
        <f t="shared" si="25"/>
        <v>0</v>
      </c>
      <c r="AF47" s="70">
        <f t="shared" si="26"/>
        <v>0</v>
      </c>
      <c r="AG47" s="70">
        <f t="shared" si="27"/>
        <v>60</v>
      </c>
      <c r="AH47" s="70">
        <f t="shared" si="28"/>
        <v>240</v>
      </c>
      <c r="AI47" s="70">
        <f t="shared" si="29"/>
        <v>60</v>
      </c>
    </row>
    <row r="48" spans="1:35" s="69" customFormat="1" x14ac:dyDescent="0.3">
      <c r="A48" s="64" t="s">
        <v>36</v>
      </c>
      <c r="B48" s="65" t="s">
        <v>193</v>
      </c>
      <c r="C48" s="65" t="s">
        <v>22</v>
      </c>
      <c r="D48" s="65" t="s">
        <v>194</v>
      </c>
      <c r="E48" s="66">
        <v>0</v>
      </c>
      <c r="F48" s="66">
        <v>5</v>
      </c>
      <c r="G48" s="66"/>
      <c r="H48" s="66">
        <v>1</v>
      </c>
      <c r="I48" s="66"/>
      <c r="J48" s="66"/>
      <c r="K48" s="66"/>
      <c r="L48" s="66">
        <v>1</v>
      </c>
      <c r="M48" s="66"/>
      <c r="N48" s="66">
        <v>1</v>
      </c>
      <c r="O48" s="66">
        <v>1</v>
      </c>
      <c r="P48" s="66">
        <f t="shared" si="17"/>
        <v>4</v>
      </c>
      <c r="Q48" s="9">
        <v>5</v>
      </c>
      <c r="R48" s="9">
        <f t="shared" si="15"/>
        <v>300</v>
      </c>
      <c r="S48" s="66">
        <f t="shared" si="18"/>
        <v>1</v>
      </c>
      <c r="T48" s="67">
        <v>60</v>
      </c>
      <c r="U48" s="68">
        <f t="shared" si="2"/>
        <v>60</v>
      </c>
      <c r="W48" s="66"/>
      <c r="X48" s="69">
        <f t="shared" si="3"/>
        <v>1</v>
      </c>
      <c r="Y48" s="70">
        <f t="shared" si="19"/>
        <v>0</v>
      </c>
      <c r="Z48" s="70">
        <f t="shared" si="20"/>
        <v>60</v>
      </c>
      <c r="AA48" s="70">
        <f t="shared" si="21"/>
        <v>0</v>
      </c>
      <c r="AB48" s="70">
        <f t="shared" si="22"/>
        <v>0</v>
      </c>
      <c r="AC48" s="70">
        <f t="shared" si="23"/>
        <v>0</v>
      </c>
      <c r="AD48" s="70">
        <f t="shared" si="24"/>
        <v>60</v>
      </c>
      <c r="AE48" s="70">
        <f t="shared" si="25"/>
        <v>0</v>
      </c>
      <c r="AF48" s="70">
        <f t="shared" si="26"/>
        <v>60</v>
      </c>
      <c r="AG48" s="70">
        <f t="shared" si="27"/>
        <v>60</v>
      </c>
      <c r="AH48" s="70">
        <f t="shared" si="28"/>
        <v>240</v>
      </c>
      <c r="AI48" s="70">
        <f t="shared" si="29"/>
        <v>60</v>
      </c>
    </row>
    <row r="49" spans="1:35" s="76" customFormat="1" x14ac:dyDescent="0.3">
      <c r="A49" s="71" t="s">
        <v>36</v>
      </c>
      <c r="B49" s="72" t="s">
        <v>207</v>
      </c>
      <c r="C49" s="72" t="s">
        <v>17</v>
      </c>
      <c r="D49" s="72" t="s">
        <v>222</v>
      </c>
      <c r="E49" s="73">
        <v>0</v>
      </c>
      <c r="F49" s="73">
        <v>100</v>
      </c>
      <c r="G49" s="73">
        <v>12</v>
      </c>
      <c r="H49" s="73">
        <v>4</v>
      </c>
      <c r="I49" s="73"/>
      <c r="J49" s="73"/>
      <c r="K49" s="73">
        <v>1</v>
      </c>
      <c r="L49" s="73"/>
      <c r="M49" s="73"/>
      <c r="N49" s="73"/>
      <c r="O49" s="73"/>
      <c r="P49" s="73">
        <f t="shared" si="0"/>
        <v>17</v>
      </c>
      <c r="Q49" s="9">
        <v>50</v>
      </c>
      <c r="R49" s="9">
        <f t="shared" si="15"/>
        <v>1250</v>
      </c>
      <c r="S49" s="73">
        <f t="shared" si="18"/>
        <v>83</v>
      </c>
      <c r="T49" s="74">
        <v>25</v>
      </c>
      <c r="U49" s="75">
        <f t="shared" si="2"/>
        <v>2075</v>
      </c>
      <c r="X49" s="76">
        <f t="shared" si="3"/>
        <v>83</v>
      </c>
      <c r="Y49" s="77">
        <f t="shared" si="19"/>
        <v>300</v>
      </c>
      <c r="Z49" s="77">
        <f t="shared" si="20"/>
        <v>100</v>
      </c>
      <c r="AA49" s="77">
        <f t="shared" si="21"/>
        <v>0</v>
      </c>
      <c r="AB49" s="77">
        <f t="shared" si="22"/>
        <v>0</v>
      </c>
      <c r="AC49" s="77">
        <f t="shared" si="23"/>
        <v>25</v>
      </c>
      <c r="AD49" s="77">
        <f t="shared" si="24"/>
        <v>0</v>
      </c>
      <c r="AE49" s="77">
        <f t="shared" si="25"/>
        <v>0</v>
      </c>
      <c r="AF49" s="77">
        <f t="shared" si="26"/>
        <v>0</v>
      </c>
      <c r="AG49" s="77">
        <f t="shared" si="27"/>
        <v>0</v>
      </c>
      <c r="AH49" s="77">
        <f t="shared" si="28"/>
        <v>425</v>
      </c>
      <c r="AI49" s="77">
        <f t="shared" si="29"/>
        <v>2075</v>
      </c>
    </row>
    <row r="50" spans="1:35" s="76" customFormat="1" x14ac:dyDescent="0.3">
      <c r="A50" s="71" t="s">
        <v>36</v>
      </c>
      <c r="B50" s="72" t="s">
        <v>209</v>
      </c>
      <c r="C50" s="72" t="s">
        <v>18</v>
      </c>
      <c r="D50" s="72" t="s">
        <v>224</v>
      </c>
      <c r="E50" s="73">
        <v>0</v>
      </c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>
        <f t="shared" si="0"/>
        <v>0</v>
      </c>
      <c r="Q50" s="9">
        <v>1</v>
      </c>
      <c r="R50" s="9">
        <f t="shared" si="15"/>
        <v>178</v>
      </c>
      <c r="S50" s="73">
        <f t="shared" si="18"/>
        <v>0</v>
      </c>
      <c r="T50" s="74">
        <v>178</v>
      </c>
      <c r="U50" s="75">
        <f t="shared" si="2"/>
        <v>0</v>
      </c>
      <c r="W50" s="76">
        <v>0</v>
      </c>
      <c r="X50" s="76">
        <f t="shared" si="3"/>
        <v>0</v>
      </c>
      <c r="Y50" s="77">
        <f t="shared" si="19"/>
        <v>0</v>
      </c>
      <c r="Z50" s="77">
        <f t="shared" si="20"/>
        <v>0</v>
      </c>
      <c r="AA50" s="77">
        <f t="shared" si="21"/>
        <v>0</v>
      </c>
      <c r="AB50" s="77">
        <f t="shared" si="22"/>
        <v>0</v>
      </c>
      <c r="AC50" s="77">
        <f t="shared" si="23"/>
        <v>0</v>
      </c>
      <c r="AD50" s="77">
        <f t="shared" si="24"/>
        <v>0</v>
      </c>
      <c r="AE50" s="77">
        <f t="shared" si="25"/>
        <v>0</v>
      </c>
      <c r="AF50" s="77">
        <f t="shared" si="26"/>
        <v>0</v>
      </c>
      <c r="AG50" s="77">
        <f t="shared" si="27"/>
        <v>0</v>
      </c>
      <c r="AH50" s="77">
        <f t="shared" si="28"/>
        <v>0</v>
      </c>
      <c r="AI50" s="77">
        <f t="shared" si="29"/>
        <v>0</v>
      </c>
    </row>
    <row r="51" spans="1:35" s="76" customFormat="1" x14ac:dyDescent="0.3">
      <c r="A51" s="71" t="s">
        <v>36</v>
      </c>
      <c r="B51" s="72" t="s">
        <v>210</v>
      </c>
      <c r="C51" s="72" t="s">
        <v>17</v>
      </c>
      <c r="D51" s="72" t="s">
        <v>226</v>
      </c>
      <c r="E51" s="73">
        <v>12</v>
      </c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>
        <f t="shared" si="0"/>
        <v>0</v>
      </c>
      <c r="Q51" s="9">
        <v>25</v>
      </c>
      <c r="R51" s="9">
        <f t="shared" si="15"/>
        <v>1250</v>
      </c>
      <c r="S51" s="73">
        <f t="shared" si="18"/>
        <v>12</v>
      </c>
      <c r="T51" s="74">
        <v>50</v>
      </c>
      <c r="U51" s="75">
        <f t="shared" si="2"/>
        <v>600</v>
      </c>
      <c r="W51" s="76">
        <v>5</v>
      </c>
      <c r="X51" s="76">
        <f t="shared" si="3"/>
        <v>17</v>
      </c>
      <c r="Y51" s="77">
        <f t="shared" si="19"/>
        <v>0</v>
      </c>
      <c r="Z51" s="77">
        <f t="shared" si="20"/>
        <v>0</v>
      </c>
      <c r="AA51" s="77">
        <f t="shared" si="21"/>
        <v>0</v>
      </c>
      <c r="AB51" s="77">
        <f t="shared" si="22"/>
        <v>0</v>
      </c>
      <c r="AC51" s="77">
        <f t="shared" si="23"/>
        <v>0</v>
      </c>
      <c r="AD51" s="77">
        <f t="shared" si="24"/>
        <v>0</v>
      </c>
      <c r="AE51" s="77">
        <f t="shared" si="25"/>
        <v>0</v>
      </c>
      <c r="AF51" s="77">
        <f t="shared" si="26"/>
        <v>0</v>
      </c>
      <c r="AG51" s="77">
        <f t="shared" si="27"/>
        <v>0</v>
      </c>
      <c r="AH51" s="77">
        <f t="shared" si="28"/>
        <v>0</v>
      </c>
      <c r="AI51" s="77">
        <f t="shared" si="29"/>
        <v>600</v>
      </c>
    </row>
    <row r="52" spans="1:35" s="76" customFormat="1" x14ac:dyDescent="0.3">
      <c r="A52" s="71" t="s">
        <v>36</v>
      </c>
      <c r="B52" s="72" t="s">
        <v>212</v>
      </c>
      <c r="C52" s="72" t="s">
        <v>17</v>
      </c>
      <c r="D52" s="72" t="s">
        <v>227</v>
      </c>
      <c r="E52" s="73">
        <v>30</v>
      </c>
      <c r="F52" s="73"/>
      <c r="G52" s="73">
        <v>1</v>
      </c>
      <c r="H52" s="73">
        <v>1</v>
      </c>
      <c r="I52" s="73">
        <v>1</v>
      </c>
      <c r="J52" s="73"/>
      <c r="K52" s="73"/>
      <c r="L52" s="73"/>
      <c r="M52" s="73"/>
      <c r="N52" s="73"/>
      <c r="O52" s="73"/>
      <c r="P52" s="73">
        <f t="shared" si="0"/>
        <v>3</v>
      </c>
      <c r="Q52" s="9">
        <v>50</v>
      </c>
      <c r="R52" s="9">
        <f t="shared" si="15"/>
        <v>2500</v>
      </c>
      <c r="S52" s="73">
        <f t="shared" si="18"/>
        <v>27</v>
      </c>
      <c r="T52" s="74">
        <v>50</v>
      </c>
      <c r="U52" s="75">
        <f t="shared" si="2"/>
        <v>1350</v>
      </c>
      <c r="W52" s="76">
        <v>0</v>
      </c>
      <c r="X52" s="76">
        <f t="shared" si="3"/>
        <v>27</v>
      </c>
      <c r="Y52" s="77">
        <f t="shared" si="19"/>
        <v>50</v>
      </c>
      <c r="Z52" s="77">
        <f t="shared" si="20"/>
        <v>50</v>
      </c>
      <c r="AA52" s="77">
        <f t="shared" si="21"/>
        <v>50</v>
      </c>
      <c r="AB52" s="77">
        <f t="shared" si="22"/>
        <v>0</v>
      </c>
      <c r="AC52" s="77">
        <f t="shared" si="23"/>
        <v>0</v>
      </c>
      <c r="AD52" s="77">
        <f t="shared" si="24"/>
        <v>0</v>
      </c>
      <c r="AE52" s="77">
        <f t="shared" si="25"/>
        <v>0</v>
      </c>
      <c r="AF52" s="77">
        <f t="shared" si="26"/>
        <v>0</v>
      </c>
      <c r="AG52" s="77">
        <f t="shared" si="27"/>
        <v>0</v>
      </c>
      <c r="AH52" s="77">
        <f t="shared" si="28"/>
        <v>150</v>
      </c>
      <c r="AI52" s="77">
        <f t="shared" si="29"/>
        <v>1350</v>
      </c>
    </row>
    <row r="53" spans="1:35" s="76" customFormat="1" x14ac:dyDescent="0.3">
      <c r="A53" s="71" t="s">
        <v>36</v>
      </c>
      <c r="B53" s="72" t="s">
        <v>74</v>
      </c>
      <c r="C53" s="72" t="s">
        <v>17</v>
      </c>
      <c r="D53" s="72" t="s">
        <v>229</v>
      </c>
      <c r="E53" s="73">
        <v>75</v>
      </c>
      <c r="F53" s="73">
        <v>300</v>
      </c>
      <c r="G53" s="73">
        <v>15</v>
      </c>
      <c r="H53" s="73">
        <v>11</v>
      </c>
      <c r="I53" s="73">
        <v>3</v>
      </c>
      <c r="J53" s="73">
        <v>15</v>
      </c>
      <c r="K53" s="73">
        <v>3</v>
      </c>
      <c r="L53" s="73">
        <v>20</v>
      </c>
      <c r="M53" s="73">
        <v>11</v>
      </c>
      <c r="N53" s="73"/>
      <c r="O53" s="73">
        <v>16</v>
      </c>
      <c r="P53" s="73">
        <f t="shared" si="0"/>
        <v>94</v>
      </c>
      <c r="Q53" s="9">
        <v>400</v>
      </c>
      <c r="R53" s="9">
        <f t="shared" si="15"/>
        <v>4000</v>
      </c>
      <c r="S53" s="73">
        <f t="shared" si="18"/>
        <v>281</v>
      </c>
      <c r="T53" s="74">
        <v>10</v>
      </c>
      <c r="U53" s="75">
        <f t="shared" si="2"/>
        <v>2810</v>
      </c>
      <c r="W53" s="73">
        <v>80</v>
      </c>
      <c r="X53" s="76">
        <f t="shared" si="3"/>
        <v>361</v>
      </c>
      <c r="Y53" s="77">
        <f t="shared" si="19"/>
        <v>150</v>
      </c>
      <c r="Z53" s="77">
        <f t="shared" si="20"/>
        <v>110</v>
      </c>
      <c r="AA53" s="77">
        <f t="shared" si="21"/>
        <v>30</v>
      </c>
      <c r="AB53" s="77">
        <f t="shared" si="22"/>
        <v>150</v>
      </c>
      <c r="AC53" s="77">
        <f t="shared" si="23"/>
        <v>30</v>
      </c>
      <c r="AD53" s="77">
        <f t="shared" si="24"/>
        <v>200</v>
      </c>
      <c r="AE53" s="77">
        <f t="shared" si="25"/>
        <v>110</v>
      </c>
      <c r="AF53" s="77">
        <f t="shared" si="26"/>
        <v>0</v>
      </c>
      <c r="AG53" s="77">
        <f t="shared" si="27"/>
        <v>160</v>
      </c>
      <c r="AH53" s="77">
        <f t="shared" si="28"/>
        <v>940</v>
      </c>
      <c r="AI53" s="77">
        <f t="shared" si="29"/>
        <v>2810</v>
      </c>
    </row>
    <row r="54" spans="1:35" s="76" customFormat="1" x14ac:dyDescent="0.3">
      <c r="A54" s="71" t="s">
        <v>36</v>
      </c>
      <c r="B54" s="72" t="s">
        <v>213</v>
      </c>
      <c r="C54" s="72" t="s">
        <v>17</v>
      </c>
      <c r="D54" s="72" t="s">
        <v>230</v>
      </c>
      <c r="E54" s="73">
        <v>36</v>
      </c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>
        <f t="shared" si="0"/>
        <v>0</v>
      </c>
      <c r="Q54" s="9">
        <v>150</v>
      </c>
      <c r="R54" s="9">
        <f t="shared" ref="R54:R98" si="30">Q54*T54</f>
        <v>1650</v>
      </c>
      <c r="S54" s="73">
        <f t="shared" si="18"/>
        <v>36</v>
      </c>
      <c r="T54" s="74">
        <v>11</v>
      </c>
      <c r="U54" s="75">
        <f t="shared" si="2"/>
        <v>396</v>
      </c>
      <c r="W54" s="73">
        <v>120</v>
      </c>
      <c r="X54" s="76">
        <f t="shared" si="3"/>
        <v>156</v>
      </c>
      <c r="Y54" s="77">
        <f t="shared" si="19"/>
        <v>0</v>
      </c>
      <c r="Z54" s="77">
        <f t="shared" si="20"/>
        <v>0</v>
      </c>
      <c r="AA54" s="77">
        <f t="shared" si="21"/>
        <v>0</v>
      </c>
      <c r="AB54" s="77">
        <f t="shared" si="22"/>
        <v>0</v>
      </c>
      <c r="AC54" s="77">
        <f t="shared" si="23"/>
        <v>0</v>
      </c>
      <c r="AD54" s="77">
        <f t="shared" si="24"/>
        <v>0</v>
      </c>
      <c r="AE54" s="77">
        <f t="shared" si="25"/>
        <v>0</v>
      </c>
      <c r="AF54" s="77">
        <f t="shared" si="26"/>
        <v>0</v>
      </c>
      <c r="AG54" s="77">
        <f t="shared" si="27"/>
        <v>0</v>
      </c>
      <c r="AH54" s="77">
        <f t="shared" si="28"/>
        <v>0</v>
      </c>
      <c r="AI54" s="77">
        <f t="shared" si="29"/>
        <v>396</v>
      </c>
    </row>
    <row r="55" spans="1:35" s="76" customFormat="1" x14ac:dyDescent="0.3">
      <c r="A55" s="71" t="s">
        <v>36</v>
      </c>
      <c r="B55" s="72" t="s">
        <v>214</v>
      </c>
      <c r="C55" s="72" t="s">
        <v>17</v>
      </c>
      <c r="D55" s="72" t="s">
        <v>232</v>
      </c>
      <c r="E55" s="73">
        <v>43</v>
      </c>
      <c r="F55" s="73"/>
      <c r="G55" s="73"/>
      <c r="H55" s="73"/>
      <c r="I55" s="73">
        <v>1</v>
      </c>
      <c r="J55" s="73"/>
      <c r="K55" s="73"/>
      <c r="L55" s="73"/>
      <c r="M55" s="73"/>
      <c r="N55" s="73"/>
      <c r="O55" s="73"/>
      <c r="P55" s="73">
        <f t="shared" si="0"/>
        <v>1</v>
      </c>
      <c r="Q55" s="9">
        <v>150</v>
      </c>
      <c r="R55" s="9">
        <f t="shared" si="30"/>
        <v>1650</v>
      </c>
      <c r="S55" s="73">
        <f t="shared" si="18"/>
        <v>42</v>
      </c>
      <c r="T55" s="74">
        <v>11</v>
      </c>
      <c r="U55" s="75">
        <f t="shared" si="2"/>
        <v>462</v>
      </c>
      <c r="W55" s="73">
        <v>29</v>
      </c>
      <c r="X55" s="76">
        <f t="shared" si="3"/>
        <v>71</v>
      </c>
      <c r="Y55" s="77">
        <f t="shared" si="19"/>
        <v>0</v>
      </c>
      <c r="Z55" s="77">
        <f t="shared" si="20"/>
        <v>0</v>
      </c>
      <c r="AA55" s="77">
        <f t="shared" si="21"/>
        <v>11</v>
      </c>
      <c r="AB55" s="77">
        <f t="shared" si="22"/>
        <v>0</v>
      </c>
      <c r="AC55" s="77">
        <f t="shared" si="23"/>
        <v>0</v>
      </c>
      <c r="AD55" s="77">
        <f t="shared" si="24"/>
        <v>0</v>
      </c>
      <c r="AE55" s="77">
        <f t="shared" si="25"/>
        <v>0</v>
      </c>
      <c r="AF55" s="77">
        <f t="shared" si="26"/>
        <v>0</v>
      </c>
      <c r="AG55" s="77">
        <f t="shared" si="27"/>
        <v>0</v>
      </c>
      <c r="AH55" s="77">
        <f t="shared" si="28"/>
        <v>11</v>
      </c>
      <c r="AI55" s="77">
        <f t="shared" si="29"/>
        <v>462</v>
      </c>
    </row>
    <row r="56" spans="1:35" s="76" customFormat="1" x14ac:dyDescent="0.3">
      <c r="A56" s="71" t="s">
        <v>36</v>
      </c>
      <c r="B56" s="72" t="s">
        <v>215</v>
      </c>
      <c r="C56" s="72" t="s">
        <v>17</v>
      </c>
      <c r="D56" s="72" t="s">
        <v>228</v>
      </c>
      <c r="E56" s="73">
        <v>0</v>
      </c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>
        <f t="shared" si="0"/>
        <v>0</v>
      </c>
      <c r="Q56" s="9">
        <v>50</v>
      </c>
      <c r="R56" s="9">
        <f t="shared" si="30"/>
        <v>550</v>
      </c>
      <c r="S56" s="73">
        <f t="shared" si="18"/>
        <v>0</v>
      </c>
      <c r="T56" s="74">
        <v>11</v>
      </c>
      <c r="U56" s="75">
        <f t="shared" si="2"/>
        <v>0</v>
      </c>
      <c r="W56" s="73">
        <v>0</v>
      </c>
      <c r="X56" s="76">
        <f t="shared" si="3"/>
        <v>0</v>
      </c>
      <c r="Y56" s="77">
        <f t="shared" si="19"/>
        <v>0</v>
      </c>
      <c r="Z56" s="77">
        <f t="shared" si="20"/>
        <v>0</v>
      </c>
      <c r="AA56" s="77">
        <f t="shared" si="21"/>
        <v>0</v>
      </c>
      <c r="AB56" s="77">
        <f t="shared" si="22"/>
        <v>0</v>
      </c>
      <c r="AC56" s="77">
        <f t="shared" si="23"/>
        <v>0</v>
      </c>
      <c r="AD56" s="77">
        <f t="shared" si="24"/>
        <v>0</v>
      </c>
      <c r="AE56" s="77">
        <f t="shared" si="25"/>
        <v>0</v>
      </c>
      <c r="AF56" s="77">
        <f t="shared" si="26"/>
        <v>0</v>
      </c>
      <c r="AG56" s="77">
        <f t="shared" si="27"/>
        <v>0</v>
      </c>
      <c r="AH56" s="77">
        <f t="shared" si="28"/>
        <v>0</v>
      </c>
      <c r="AI56" s="77">
        <f t="shared" si="29"/>
        <v>0</v>
      </c>
    </row>
    <row r="57" spans="1:35" s="76" customFormat="1" x14ac:dyDescent="0.3">
      <c r="A57" s="71" t="s">
        <v>36</v>
      </c>
      <c r="B57" s="72" t="s">
        <v>217</v>
      </c>
      <c r="C57" s="72" t="s">
        <v>17</v>
      </c>
      <c r="D57" s="72" t="s">
        <v>234</v>
      </c>
      <c r="E57" s="73">
        <v>40</v>
      </c>
      <c r="F57" s="73"/>
      <c r="G57" s="73"/>
      <c r="H57" s="73">
        <v>6</v>
      </c>
      <c r="I57" s="73"/>
      <c r="J57" s="73"/>
      <c r="K57" s="73"/>
      <c r="L57" s="73"/>
      <c r="M57" s="73"/>
      <c r="N57" s="73">
        <v>7</v>
      </c>
      <c r="O57" s="73"/>
      <c r="P57" s="73">
        <f t="shared" si="0"/>
        <v>13</v>
      </c>
      <c r="Q57" s="9">
        <v>50</v>
      </c>
      <c r="R57" s="9">
        <f t="shared" si="30"/>
        <v>1050</v>
      </c>
      <c r="S57" s="73">
        <f t="shared" si="18"/>
        <v>27</v>
      </c>
      <c r="T57" s="74">
        <v>21</v>
      </c>
      <c r="U57" s="75">
        <f t="shared" si="2"/>
        <v>567</v>
      </c>
      <c r="W57" s="73">
        <v>40</v>
      </c>
      <c r="X57" s="76">
        <f t="shared" si="3"/>
        <v>67</v>
      </c>
      <c r="Y57" s="77">
        <f t="shared" si="19"/>
        <v>0</v>
      </c>
      <c r="Z57" s="77">
        <f t="shared" si="20"/>
        <v>126</v>
      </c>
      <c r="AA57" s="77">
        <f t="shared" si="21"/>
        <v>0</v>
      </c>
      <c r="AB57" s="77">
        <f t="shared" si="22"/>
        <v>0</v>
      </c>
      <c r="AC57" s="77">
        <f t="shared" si="23"/>
        <v>0</v>
      </c>
      <c r="AD57" s="77">
        <f t="shared" si="24"/>
        <v>0</v>
      </c>
      <c r="AE57" s="77">
        <f t="shared" si="25"/>
        <v>0</v>
      </c>
      <c r="AF57" s="77">
        <f t="shared" si="26"/>
        <v>147</v>
      </c>
      <c r="AG57" s="77">
        <f t="shared" si="27"/>
        <v>0</v>
      </c>
      <c r="AH57" s="77">
        <f t="shared" si="28"/>
        <v>273</v>
      </c>
      <c r="AI57" s="77">
        <f t="shared" si="29"/>
        <v>567</v>
      </c>
    </row>
    <row r="58" spans="1:35" s="76" customFormat="1" x14ac:dyDescent="0.3">
      <c r="A58" s="71" t="s">
        <v>36</v>
      </c>
      <c r="B58" s="72" t="s">
        <v>218</v>
      </c>
      <c r="C58" s="72" t="s">
        <v>17</v>
      </c>
      <c r="D58" s="72" t="s">
        <v>235</v>
      </c>
      <c r="E58" s="73">
        <v>25</v>
      </c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>
        <f t="shared" si="0"/>
        <v>0</v>
      </c>
      <c r="Q58" s="9">
        <v>50</v>
      </c>
      <c r="R58" s="9">
        <f t="shared" si="30"/>
        <v>1050</v>
      </c>
      <c r="S58" s="73">
        <f t="shared" si="18"/>
        <v>25</v>
      </c>
      <c r="T58" s="74">
        <v>21</v>
      </c>
      <c r="U58" s="75">
        <f t="shared" si="2"/>
        <v>525</v>
      </c>
      <c r="W58" s="73">
        <v>60</v>
      </c>
      <c r="X58" s="76">
        <f t="shared" si="3"/>
        <v>85</v>
      </c>
      <c r="Y58" s="77">
        <f t="shared" si="19"/>
        <v>0</v>
      </c>
      <c r="Z58" s="77">
        <f t="shared" si="20"/>
        <v>0</v>
      </c>
      <c r="AA58" s="77">
        <f t="shared" si="21"/>
        <v>0</v>
      </c>
      <c r="AB58" s="77">
        <f t="shared" si="22"/>
        <v>0</v>
      </c>
      <c r="AC58" s="77">
        <f t="shared" si="23"/>
        <v>0</v>
      </c>
      <c r="AD58" s="77">
        <f t="shared" si="24"/>
        <v>0</v>
      </c>
      <c r="AE58" s="77">
        <f t="shared" si="25"/>
        <v>0</v>
      </c>
      <c r="AF58" s="77">
        <f t="shared" si="26"/>
        <v>0</v>
      </c>
      <c r="AG58" s="77">
        <f t="shared" si="27"/>
        <v>0</v>
      </c>
      <c r="AH58" s="77">
        <f t="shared" si="28"/>
        <v>0</v>
      </c>
      <c r="AI58" s="77">
        <f t="shared" si="29"/>
        <v>525</v>
      </c>
    </row>
    <row r="59" spans="1:35" s="76" customFormat="1" x14ac:dyDescent="0.3">
      <c r="A59" s="71" t="s">
        <v>36</v>
      </c>
      <c r="B59" s="72" t="s">
        <v>219</v>
      </c>
      <c r="C59" s="72" t="s">
        <v>17</v>
      </c>
      <c r="D59" s="72" t="s">
        <v>236</v>
      </c>
      <c r="E59" s="73">
        <v>15</v>
      </c>
      <c r="F59" s="73"/>
      <c r="G59" s="73"/>
      <c r="H59" s="73"/>
      <c r="I59" s="73"/>
      <c r="J59" s="73"/>
      <c r="K59" s="73"/>
      <c r="L59" s="73">
        <v>2</v>
      </c>
      <c r="M59" s="73"/>
      <c r="N59" s="73"/>
      <c r="O59" s="73"/>
      <c r="P59" s="73">
        <f t="shared" si="0"/>
        <v>2</v>
      </c>
      <c r="Q59" s="9">
        <v>50</v>
      </c>
      <c r="R59" s="9">
        <f t="shared" si="30"/>
        <v>1050</v>
      </c>
      <c r="S59" s="73">
        <f t="shared" si="18"/>
        <v>13</v>
      </c>
      <c r="T59" s="74">
        <v>21</v>
      </c>
      <c r="U59" s="75">
        <f t="shared" si="2"/>
        <v>273</v>
      </c>
      <c r="W59" s="73">
        <v>40</v>
      </c>
      <c r="X59" s="76">
        <f t="shared" si="3"/>
        <v>53</v>
      </c>
      <c r="Y59" s="77">
        <f t="shared" si="19"/>
        <v>0</v>
      </c>
      <c r="Z59" s="77">
        <f t="shared" si="20"/>
        <v>0</v>
      </c>
      <c r="AA59" s="77">
        <f t="shared" si="21"/>
        <v>0</v>
      </c>
      <c r="AB59" s="77">
        <f t="shared" si="22"/>
        <v>0</v>
      </c>
      <c r="AC59" s="77">
        <f t="shared" si="23"/>
        <v>0</v>
      </c>
      <c r="AD59" s="77">
        <f t="shared" si="24"/>
        <v>42</v>
      </c>
      <c r="AE59" s="77">
        <f t="shared" si="25"/>
        <v>0</v>
      </c>
      <c r="AF59" s="77">
        <f t="shared" si="26"/>
        <v>0</v>
      </c>
      <c r="AG59" s="77">
        <f t="shared" si="27"/>
        <v>0</v>
      </c>
      <c r="AH59" s="77">
        <f t="shared" si="28"/>
        <v>42</v>
      </c>
      <c r="AI59" s="77">
        <f t="shared" si="29"/>
        <v>273</v>
      </c>
    </row>
    <row r="60" spans="1:35" s="76" customFormat="1" x14ac:dyDescent="0.3">
      <c r="A60" s="71" t="s">
        <v>36</v>
      </c>
      <c r="B60" s="72" t="s">
        <v>76</v>
      </c>
      <c r="C60" s="72" t="s">
        <v>17</v>
      </c>
      <c r="D60" s="72" t="s">
        <v>237</v>
      </c>
      <c r="E60" s="73">
        <v>0</v>
      </c>
      <c r="F60" s="73">
        <v>60</v>
      </c>
      <c r="G60" s="73"/>
      <c r="H60" s="73">
        <v>4</v>
      </c>
      <c r="I60" s="73"/>
      <c r="J60" s="73"/>
      <c r="K60" s="73">
        <v>2</v>
      </c>
      <c r="L60" s="73"/>
      <c r="M60" s="73">
        <v>49</v>
      </c>
      <c r="N60" s="73"/>
      <c r="O60" s="73">
        <v>5</v>
      </c>
      <c r="P60" s="73">
        <f t="shared" ref="P60:P72" si="31">SUM(G60:O60)</f>
        <v>60</v>
      </c>
      <c r="Q60" s="9">
        <v>100</v>
      </c>
      <c r="R60" s="9">
        <f t="shared" si="30"/>
        <v>25000</v>
      </c>
      <c r="S60" s="73">
        <f t="shared" ref="S60:S76" si="32">E60+F60-P60</f>
        <v>0</v>
      </c>
      <c r="T60" s="74">
        <v>250</v>
      </c>
      <c r="U60" s="75">
        <f t="shared" ref="U60:U76" si="33">S60*T60</f>
        <v>0</v>
      </c>
      <c r="W60" s="73">
        <v>0</v>
      </c>
      <c r="X60" s="76">
        <f t="shared" ref="X60:X83" si="34">S60+W60</f>
        <v>0</v>
      </c>
      <c r="Y60" s="77">
        <f t="shared" si="19"/>
        <v>0</v>
      </c>
      <c r="Z60" s="77">
        <f t="shared" si="20"/>
        <v>1000</v>
      </c>
      <c r="AA60" s="77">
        <f t="shared" si="21"/>
        <v>0</v>
      </c>
      <c r="AB60" s="77">
        <f t="shared" si="22"/>
        <v>0</v>
      </c>
      <c r="AC60" s="77">
        <f t="shared" si="23"/>
        <v>500</v>
      </c>
      <c r="AD60" s="77">
        <f t="shared" si="24"/>
        <v>0</v>
      </c>
      <c r="AE60" s="77">
        <f t="shared" si="25"/>
        <v>12250</v>
      </c>
      <c r="AF60" s="77">
        <f t="shared" si="26"/>
        <v>0</v>
      </c>
      <c r="AG60" s="77">
        <f t="shared" si="27"/>
        <v>1250</v>
      </c>
      <c r="AH60" s="77">
        <f t="shared" si="28"/>
        <v>15000</v>
      </c>
      <c r="AI60" s="77">
        <f t="shared" si="29"/>
        <v>0</v>
      </c>
    </row>
    <row r="61" spans="1:35" s="83" customFormat="1" x14ac:dyDescent="0.3">
      <c r="A61" s="78" t="s">
        <v>36</v>
      </c>
      <c r="B61" s="79" t="s">
        <v>250</v>
      </c>
      <c r="C61" s="79" t="s">
        <v>20</v>
      </c>
      <c r="D61" s="79" t="s">
        <v>239</v>
      </c>
      <c r="E61" s="80">
        <v>15</v>
      </c>
      <c r="F61" s="80"/>
      <c r="G61" s="80"/>
      <c r="H61" s="80"/>
      <c r="I61" s="80"/>
      <c r="J61" s="80"/>
      <c r="K61" s="80">
        <v>1</v>
      </c>
      <c r="L61" s="80"/>
      <c r="M61" s="80"/>
      <c r="N61" s="80"/>
      <c r="O61" s="80"/>
      <c r="P61" s="80">
        <f t="shared" si="31"/>
        <v>1</v>
      </c>
      <c r="Q61" s="9">
        <v>20</v>
      </c>
      <c r="R61" s="9">
        <f t="shared" si="30"/>
        <v>6400</v>
      </c>
      <c r="S61" s="80">
        <f t="shared" si="32"/>
        <v>14</v>
      </c>
      <c r="T61" s="81">
        <v>320</v>
      </c>
      <c r="U61" s="82">
        <f t="shared" si="33"/>
        <v>4480</v>
      </c>
      <c r="W61" s="80">
        <v>12</v>
      </c>
      <c r="X61" s="83">
        <f t="shared" si="34"/>
        <v>26</v>
      </c>
      <c r="Y61" s="84">
        <f t="shared" ref="Y61:Y83" si="35">G61*$T61</f>
        <v>0</v>
      </c>
      <c r="Z61" s="84">
        <f t="shared" ref="Z61:Z83" si="36">H61*$T61</f>
        <v>0</v>
      </c>
      <c r="AA61" s="84">
        <f t="shared" ref="AA61:AA83" si="37">I61*$T61</f>
        <v>0</v>
      </c>
      <c r="AB61" s="84">
        <f t="shared" ref="AB61:AB83" si="38">J61*$T61</f>
        <v>0</v>
      </c>
      <c r="AC61" s="84">
        <f t="shared" ref="AC61:AC83" si="39">K61*$T61</f>
        <v>320</v>
      </c>
      <c r="AD61" s="84">
        <f t="shared" ref="AD61:AD83" si="40">L61*$T61</f>
        <v>0</v>
      </c>
      <c r="AE61" s="84">
        <f t="shared" ref="AE61:AE83" si="41">M61*$T61</f>
        <v>0</v>
      </c>
      <c r="AF61" s="84">
        <f t="shared" ref="AF61:AF83" si="42">N61*$T61</f>
        <v>0</v>
      </c>
      <c r="AG61" s="84">
        <f t="shared" ref="AG61:AG83" si="43">O61*$T61</f>
        <v>0</v>
      </c>
      <c r="AH61" s="85">
        <f t="shared" ref="AH61:AH80" si="44">$P61*$T61</f>
        <v>320</v>
      </c>
    </row>
    <row r="62" spans="1:35" s="83" customFormat="1" x14ac:dyDescent="0.3">
      <c r="A62" s="78" t="s">
        <v>36</v>
      </c>
      <c r="B62" s="79" t="s">
        <v>251</v>
      </c>
      <c r="C62" s="79" t="s">
        <v>20</v>
      </c>
      <c r="D62" s="79" t="s">
        <v>240</v>
      </c>
      <c r="E62" s="80">
        <v>19</v>
      </c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>
        <f t="shared" si="31"/>
        <v>0</v>
      </c>
      <c r="Q62" s="9">
        <v>10</v>
      </c>
      <c r="R62" s="9">
        <f t="shared" si="30"/>
        <v>3200</v>
      </c>
      <c r="S62" s="80">
        <f t="shared" si="32"/>
        <v>19</v>
      </c>
      <c r="T62" s="81">
        <v>320</v>
      </c>
      <c r="U62" s="82">
        <f t="shared" si="33"/>
        <v>6080</v>
      </c>
      <c r="W62" s="80">
        <v>16</v>
      </c>
      <c r="X62" s="83">
        <f t="shared" si="34"/>
        <v>35</v>
      </c>
      <c r="Y62" s="84">
        <f t="shared" si="35"/>
        <v>0</v>
      </c>
      <c r="Z62" s="84">
        <f t="shared" si="36"/>
        <v>0</v>
      </c>
      <c r="AA62" s="84">
        <f t="shared" si="37"/>
        <v>0</v>
      </c>
      <c r="AB62" s="84">
        <f t="shared" si="38"/>
        <v>0</v>
      </c>
      <c r="AC62" s="84">
        <f t="shared" si="39"/>
        <v>0</v>
      </c>
      <c r="AD62" s="84">
        <f t="shared" si="40"/>
        <v>0</v>
      </c>
      <c r="AE62" s="84">
        <f t="shared" si="41"/>
        <v>0</v>
      </c>
      <c r="AF62" s="84">
        <f t="shared" si="42"/>
        <v>0</v>
      </c>
      <c r="AG62" s="84">
        <f t="shared" si="43"/>
        <v>0</v>
      </c>
      <c r="AH62" s="85">
        <f t="shared" si="44"/>
        <v>0</v>
      </c>
    </row>
    <row r="63" spans="1:35" s="83" customFormat="1" x14ac:dyDescent="0.3">
      <c r="A63" s="78" t="s">
        <v>36</v>
      </c>
      <c r="B63" s="79" t="s">
        <v>252</v>
      </c>
      <c r="C63" s="79" t="s">
        <v>20</v>
      </c>
      <c r="D63" s="79" t="s">
        <v>241</v>
      </c>
      <c r="E63" s="80">
        <v>15</v>
      </c>
      <c r="F63" s="80"/>
      <c r="G63" s="80"/>
      <c r="H63" s="80"/>
      <c r="I63" s="80"/>
      <c r="J63" s="80"/>
      <c r="K63" s="80">
        <v>1</v>
      </c>
      <c r="L63" s="80"/>
      <c r="M63" s="80"/>
      <c r="N63" s="80"/>
      <c r="O63" s="80"/>
      <c r="P63" s="80">
        <f t="shared" si="31"/>
        <v>1</v>
      </c>
      <c r="Q63" s="9">
        <v>10</v>
      </c>
      <c r="R63" s="9">
        <f t="shared" si="30"/>
        <v>3200</v>
      </c>
      <c r="S63" s="80">
        <f t="shared" si="32"/>
        <v>14</v>
      </c>
      <c r="T63" s="81">
        <v>320</v>
      </c>
      <c r="U63" s="82">
        <f t="shared" si="33"/>
        <v>4480</v>
      </c>
      <c r="W63" s="80">
        <v>14</v>
      </c>
      <c r="X63" s="83">
        <f t="shared" si="34"/>
        <v>28</v>
      </c>
      <c r="Y63" s="84">
        <f t="shared" si="35"/>
        <v>0</v>
      </c>
      <c r="Z63" s="84">
        <f t="shared" si="36"/>
        <v>0</v>
      </c>
      <c r="AA63" s="84">
        <f t="shared" si="37"/>
        <v>0</v>
      </c>
      <c r="AB63" s="84">
        <f t="shared" si="38"/>
        <v>0</v>
      </c>
      <c r="AC63" s="84">
        <f t="shared" si="39"/>
        <v>320</v>
      </c>
      <c r="AD63" s="84">
        <f t="shared" si="40"/>
        <v>0</v>
      </c>
      <c r="AE63" s="84">
        <f t="shared" si="41"/>
        <v>0</v>
      </c>
      <c r="AF63" s="84">
        <f t="shared" si="42"/>
        <v>0</v>
      </c>
      <c r="AG63" s="84">
        <f t="shared" si="43"/>
        <v>0</v>
      </c>
      <c r="AH63" s="85">
        <f t="shared" si="44"/>
        <v>320</v>
      </c>
    </row>
    <row r="64" spans="1:35" s="83" customFormat="1" x14ac:dyDescent="0.3">
      <c r="A64" s="78" t="s">
        <v>36</v>
      </c>
      <c r="B64" s="79" t="s">
        <v>253</v>
      </c>
      <c r="C64" s="79" t="s">
        <v>20</v>
      </c>
      <c r="D64" s="79" t="s">
        <v>254</v>
      </c>
      <c r="E64" s="80">
        <v>13</v>
      </c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>
        <f t="shared" si="31"/>
        <v>0</v>
      </c>
      <c r="Q64" s="9">
        <v>10</v>
      </c>
      <c r="R64" s="9">
        <f t="shared" si="30"/>
        <v>3200</v>
      </c>
      <c r="S64" s="80">
        <f t="shared" si="32"/>
        <v>13</v>
      </c>
      <c r="T64" s="81">
        <v>320</v>
      </c>
      <c r="U64" s="82">
        <f t="shared" si="33"/>
        <v>4160</v>
      </c>
      <c r="W64" s="80">
        <v>17</v>
      </c>
      <c r="X64" s="83">
        <f t="shared" si="34"/>
        <v>30</v>
      </c>
      <c r="Y64" s="84">
        <f t="shared" si="35"/>
        <v>0</v>
      </c>
      <c r="Z64" s="84">
        <f t="shared" si="36"/>
        <v>0</v>
      </c>
      <c r="AA64" s="84">
        <f t="shared" si="37"/>
        <v>0</v>
      </c>
      <c r="AB64" s="84">
        <f t="shared" si="38"/>
        <v>0</v>
      </c>
      <c r="AC64" s="84">
        <f t="shared" si="39"/>
        <v>0</v>
      </c>
      <c r="AD64" s="84">
        <f t="shared" si="40"/>
        <v>0</v>
      </c>
      <c r="AE64" s="84">
        <f t="shared" si="41"/>
        <v>0</v>
      </c>
      <c r="AF64" s="84">
        <f t="shared" si="42"/>
        <v>0</v>
      </c>
      <c r="AG64" s="84">
        <f t="shared" si="43"/>
        <v>0</v>
      </c>
      <c r="AH64" s="85">
        <f t="shared" si="44"/>
        <v>0</v>
      </c>
    </row>
    <row r="65" spans="1:34" s="83" customFormat="1" x14ac:dyDescent="0.3">
      <c r="A65" s="78" t="s">
        <v>36</v>
      </c>
      <c r="B65" s="79" t="s">
        <v>271</v>
      </c>
      <c r="C65" s="79" t="s">
        <v>20</v>
      </c>
      <c r="D65" s="79" t="s">
        <v>255</v>
      </c>
      <c r="E65" s="80">
        <v>0</v>
      </c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>
        <f>SUM(G65:O65)</f>
        <v>0</v>
      </c>
      <c r="Q65" s="9">
        <v>4</v>
      </c>
      <c r="R65" s="9">
        <f t="shared" si="30"/>
        <v>3120</v>
      </c>
      <c r="S65" s="80">
        <f>E65+F65-P65</f>
        <v>0</v>
      </c>
      <c r="T65" s="81">
        <v>780</v>
      </c>
      <c r="U65" s="82">
        <f>S65*T65</f>
        <v>0</v>
      </c>
      <c r="W65" s="80">
        <v>0</v>
      </c>
      <c r="X65" s="83">
        <f>S65+W65</f>
        <v>0</v>
      </c>
      <c r="Y65" s="84">
        <f t="shared" si="35"/>
        <v>0</v>
      </c>
      <c r="Z65" s="84">
        <f t="shared" si="36"/>
        <v>0</v>
      </c>
      <c r="AA65" s="84">
        <f t="shared" si="37"/>
        <v>0</v>
      </c>
      <c r="AB65" s="84">
        <f t="shared" si="38"/>
        <v>0</v>
      </c>
      <c r="AC65" s="84">
        <f t="shared" si="39"/>
        <v>0</v>
      </c>
      <c r="AD65" s="84">
        <f t="shared" si="40"/>
        <v>0</v>
      </c>
      <c r="AE65" s="84">
        <f t="shared" si="41"/>
        <v>0</v>
      </c>
      <c r="AF65" s="84">
        <f t="shared" si="42"/>
        <v>0</v>
      </c>
      <c r="AG65" s="84">
        <f t="shared" si="43"/>
        <v>0</v>
      </c>
      <c r="AH65" s="85">
        <f>$P65*$T65</f>
        <v>0</v>
      </c>
    </row>
    <row r="66" spans="1:34" s="83" customFormat="1" x14ac:dyDescent="0.3">
      <c r="A66" s="78" t="s">
        <v>36</v>
      </c>
      <c r="B66" s="79" t="s">
        <v>272</v>
      </c>
      <c r="C66" s="79" t="s">
        <v>20</v>
      </c>
      <c r="D66" s="79" t="s">
        <v>256</v>
      </c>
      <c r="E66" s="80">
        <v>0</v>
      </c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>
        <f t="shared" ref="P66:P67" si="45">SUM(G66:O66)</f>
        <v>0</v>
      </c>
      <c r="Q66" s="9">
        <v>2</v>
      </c>
      <c r="R66" s="9">
        <f t="shared" si="30"/>
        <v>1560</v>
      </c>
      <c r="S66" s="80">
        <f t="shared" ref="S66:S67" si="46">E66+F66-P66</f>
        <v>0</v>
      </c>
      <c r="T66" s="81">
        <v>780</v>
      </c>
      <c r="U66" s="82">
        <f>S66*T66</f>
        <v>0</v>
      </c>
      <c r="W66" s="80"/>
      <c r="Y66" s="84">
        <f t="shared" si="35"/>
        <v>0</v>
      </c>
      <c r="Z66" s="84">
        <f t="shared" si="36"/>
        <v>0</v>
      </c>
      <c r="AA66" s="84">
        <f t="shared" si="37"/>
        <v>0</v>
      </c>
      <c r="AB66" s="84">
        <f t="shared" si="38"/>
        <v>0</v>
      </c>
      <c r="AC66" s="84">
        <f t="shared" si="39"/>
        <v>0</v>
      </c>
      <c r="AD66" s="84">
        <f t="shared" si="40"/>
        <v>0</v>
      </c>
      <c r="AE66" s="84">
        <f t="shared" si="41"/>
        <v>0</v>
      </c>
      <c r="AF66" s="84">
        <f t="shared" si="42"/>
        <v>0</v>
      </c>
      <c r="AG66" s="84">
        <f t="shared" si="43"/>
        <v>0</v>
      </c>
      <c r="AH66" s="85"/>
    </row>
    <row r="67" spans="1:34" s="83" customFormat="1" x14ac:dyDescent="0.3">
      <c r="A67" s="78" t="s">
        <v>36</v>
      </c>
      <c r="B67" s="79" t="s">
        <v>273</v>
      </c>
      <c r="C67" s="79" t="s">
        <v>20</v>
      </c>
      <c r="D67" s="79" t="s">
        <v>257</v>
      </c>
      <c r="E67" s="99">
        <v>0</v>
      </c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>
        <f t="shared" si="45"/>
        <v>0</v>
      </c>
      <c r="Q67" s="9">
        <v>2</v>
      </c>
      <c r="R67" s="9">
        <f t="shared" si="30"/>
        <v>1560</v>
      </c>
      <c r="S67" s="80">
        <f t="shared" si="46"/>
        <v>0</v>
      </c>
      <c r="T67" s="81">
        <v>780</v>
      </c>
      <c r="U67" s="82">
        <f>S67*T67</f>
        <v>0</v>
      </c>
      <c r="W67" s="80"/>
      <c r="Y67" s="84">
        <f t="shared" si="35"/>
        <v>0</v>
      </c>
      <c r="Z67" s="84">
        <f t="shared" si="36"/>
        <v>0</v>
      </c>
      <c r="AA67" s="84">
        <f t="shared" si="37"/>
        <v>0</v>
      </c>
      <c r="AB67" s="84">
        <f t="shared" si="38"/>
        <v>0</v>
      </c>
      <c r="AC67" s="84">
        <f t="shared" si="39"/>
        <v>0</v>
      </c>
      <c r="AD67" s="84">
        <f t="shared" si="40"/>
        <v>0</v>
      </c>
      <c r="AE67" s="84">
        <f t="shared" si="41"/>
        <v>0</v>
      </c>
      <c r="AF67" s="84">
        <f t="shared" si="42"/>
        <v>0</v>
      </c>
      <c r="AG67" s="84">
        <f t="shared" si="43"/>
        <v>0</v>
      </c>
      <c r="AH67" s="85"/>
    </row>
    <row r="68" spans="1:34" s="83" customFormat="1" x14ac:dyDescent="0.3">
      <c r="A68" s="78" t="s">
        <v>36</v>
      </c>
      <c r="B68" s="79" t="s">
        <v>274</v>
      </c>
      <c r="C68" s="79" t="s">
        <v>20</v>
      </c>
      <c r="D68" s="79" t="s">
        <v>258</v>
      </c>
      <c r="E68" s="80">
        <v>0</v>
      </c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>
        <f>SUM(G68:O68)</f>
        <v>0</v>
      </c>
      <c r="Q68" s="9">
        <v>2</v>
      </c>
      <c r="R68" s="9">
        <f t="shared" si="30"/>
        <v>1560</v>
      </c>
      <c r="S68" s="80">
        <f>E68+F68-P68</f>
        <v>0</v>
      </c>
      <c r="T68" s="81">
        <v>780</v>
      </c>
      <c r="U68" s="82">
        <f>S68*T68</f>
        <v>0</v>
      </c>
      <c r="W68" s="80"/>
      <c r="X68" s="83">
        <f>S68+W68</f>
        <v>0</v>
      </c>
      <c r="Y68" s="84">
        <f t="shared" si="35"/>
        <v>0</v>
      </c>
      <c r="Z68" s="84">
        <f t="shared" si="36"/>
        <v>0</v>
      </c>
      <c r="AA68" s="84">
        <f t="shared" si="37"/>
        <v>0</v>
      </c>
      <c r="AB68" s="84">
        <f t="shared" si="38"/>
        <v>0</v>
      </c>
      <c r="AC68" s="84">
        <f t="shared" si="39"/>
        <v>0</v>
      </c>
      <c r="AD68" s="84">
        <f t="shared" si="40"/>
        <v>0</v>
      </c>
      <c r="AE68" s="84">
        <f t="shared" si="41"/>
        <v>0</v>
      </c>
      <c r="AF68" s="84">
        <f t="shared" si="42"/>
        <v>0</v>
      </c>
      <c r="AG68" s="84">
        <f t="shared" si="43"/>
        <v>0</v>
      </c>
      <c r="AH68" s="85">
        <f>$P68*$T68</f>
        <v>0</v>
      </c>
    </row>
    <row r="69" spans="1:34" s="83" customFormat="1" x14ac:dyDescent="0.3">
      <c r="A69" s="78" t="s">
        <v>36</v>
      </c>
      <c r="B69" s="79" t="s">
        <v>275</v>
      </c>
      <c r="C69" s="79" t="s">
        <v>20</v>
      </c>
      <c r="D69" s="79" t="s">
        <v>259</v>
      </c>
      <c r="E69" s="80">
        <v>7</v>
      </c>
      <c r="F69" s="80"/>
      <c r="G69" s="80">
        <v>2</v>
      </c>
      <c r="H69" s="80"/>
      <c r="I69" s="80"/>
      <c r="J69" s="80"/>
      <c r="K69" s="80"/>
      <c r="L69" s="80">
        <v>1</v>
      </c>
      <c r="M69" s="80"/>
      <c r="N69" s="80"/>
      <c r="O69" s="80"/>
      <c r="P69" s="80">
        <f t="shared" si="31"/>
        <v>3</v>
      </c>
      <c r="Q69" s="9">
        <v>15</v>
      </c>
      <c r="R69" s="9">
        <f t="shared" si="30"/>
        <v>4800</v>
      </c>
      <c r="S69" s="80">
        <f t="shared" si="32"/>
        <v>4</v>
      </c>
      <c r="T69" s="81">
        <v>320</v>
      </c>
      <c r="U69" s="82">
        <f t="shared" si="33"/>
        <v>1280</v>
      </c>
      <c r="W69" s="80">
        <v>10</v>
      </c>
      <c r="X69" s="83">
        <f t="shared" si="34"/>
        <v>14</v>
      </c>
      <c r="Y69" s="84">
        <f t="shared" si="35"/>
        <v>640</v>
      </c>
      <c r="Z69" s="84">
        <f t="shared" si="36"/>
        <v>0</v>
      </c>
      <c r="AA69" s="84">
        <f t="shared" si="37"/>
        <v>0</v>
      </c>
      <c r="AB69" s="84">
        <f t="shared" si="38"/>
        <v>0</v>
      </c>
      <c r="AC69" s="84">
        <f t="shared" si="39"/>
        <v>0</v>
      </c>
      <c r="AD69" s="84">
        <f t="shared" si="40"/>
        <v>320</v>
      </c>
      <c r="AE69" s="84">
        <f t="shared" si="41"/>
        <v>0</v>
      </c>
      <c r="AF69" s="84">
        <f t="shared" si="42"/>
        <v>0</v>
      </c>
      <c r="AG69" s="84">
        <f t="shared" si="43"/>
        <v>0</v>
      </c>
      <c r="AH69" s="85">
        <f t="shared" si="44"/>
        <v>960</v>
      </c>
    </row>
    <row r="70" spans="1:34" s="83" customFormat="1" x14ac:dyDescent="0.3">
      <c r="A70" s="78" t="s">
        <v>36</v>
      </c>
      <c r="B70" s="79" t="s">
        <v>276</v>
      </c>
      <c r="C70" s="79" t="s">
        <v>20</v>
      </c>
      <c r="D70" s="79" t="s">
        <v>260</v>
      </c>
      <c r="E70" s="80">
        <v>9</v>
      </c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>
        <f t="shared" si="31"/>
        <v>0</v>
      </c>
      <c r="Q70" s="9">
        <v>10</v>
      </c>
      <c r="R70" s="9">
        <f t="shared" si="30"/>
        <v>3200</v>
      </c>
      <c r="S70" s="80">
        <f t="shared" si="32"/>
        <v>9</v>
      </c>
      <c r="T70" s="81">
        <v>320</v>
      </c>
      <c r="U70" s="82">
        <f t="shared" si="33"/>
        <v>2880</v>
      </c>
      <c r="W70" s="80">
        <v>9</v>
      </c>
      <c r="X70" s="83">
        <f t="shared" si="34"/>
        <v>18</v>
      </c>
      <c r="Y70" s="84">
        <f t="shared" si="35"/>
        <v>0</v>
      </c>
      <c r="Z70" s="84">
        <f t="shared" si="36"/>
        <v>0</v>
      </c>
      <c r="AA70" s="84">
        <f t="shared" si="37"/>
        <v>0</v>
      </c>
      <c r="AB70" s="84">
        <f t="shared" si="38"/>
        <v>0</v>
      </c>
      <c r="AC70" s="84">
        <f t="shared" si="39"/>
        <v>0</v>
      </c>
      <c r="AD70" s="84">
        <f t="shared" si="40"/>
        <v>0</v>
      </c>
      <c r="AE70" s="84">
        <f t="shared" si="41"/>
        <v>0</v>
      </c>
      <c r="AF70" s="84">
        <f t="shared" si="42"/>
        <v>0</v>
      </c>
      <c r="AG70" s="84">
        <f t="shared" si="43"/>
        <v>0</v>
      </c>
      <c r="AH70" s="85">
        <f t="shared" si="44"/>
        <v>0</v>
      </c>
    </row>
    <row r="71" spans="1:34" s="83" customFormat="1" x14ac:dyDescent="0.3">
      <c r="A71" s="78" t="s">
        <v>36</v>
      </c>
      <c r="B71" s="79" t="s">
        <v>277</v>
      </c>
      <c r="C71" s="79" t="s">
        <v>20</v>
      </c>
      <c r="D71" s="79" t="s">
        <v>261</v>
      </c>
      <c r="E71" s="80">
        <v>9</v>
      </c>
      <c r="F71" s="80"/>
      <c r="G71" s="80">
        <v>1</v>
      </c>
      <c r="H71" s="80"/>
      <c r="I71" s="80"/>
      <c r="J71" s="80"/>
      <c r="K71" s="80"/>
      <c r="L71" s="80"/>
      <c r="M71" s="80"/>
      <c r="N71" s="80"/>
      <c r="O71" s="80"/>
      <c r="P71" s="80">
        <f t="shared" si="31"/>
        <v>1</v>
      </c>
      <c r="Q71" s="9">
        <v>10</v>
      </c>
      <c r="R71" s="9">
        <f t="shared" si="30"/>
        <v>3200</v>
      </c>
      <c r="S71" s="80">
        <f t="shared" si="32"/>
        <v>8</v>
      </c>
      <c r="T71" s="81">
        <v>320</v>
      </c>
      <c r="U71" s="82">
        <f t="shared" si="33"/>
        <v>2560</v>
      </c>
      <c r="W71" s="80">
        <v>20</v>
      </c>
      <c r="X71" s="83">
        <f t="shared" si="34"/>
        <v>28</v>
      </c>
      <c r="Y71" s="84">
        <f t="shared" si="35"/>
        <v>320</v>
      </c>
      <c r="Z71" s="84">
        <f t="shared" si="36"/>
        <v>0</v>
      </c>
      <c r="AA71" s="84">
        <f t="shared" si="37"/>
        <v>0</v>
      </c>
      <c r="AB71" s="84">
        <f t="shared" si="38"/>
        <v>0</v>
      </c>
      <c r="AC71" s="84">
        <f t="shared" si="39"/>
        <v>0</v>
      </c>
      <c r="AD71" s="84">
        <f t="shared" si="40"/>
        <v>0</v>
      </c>
      <c r="AE71" s="84">
        <f t="shared" si="41"/>
        <v>0</v>
      </c>
      <c r="AF71" s="84">
        <f t="shared" si="42"/>
        <v>0</v>
      </c>
      <c r="AG71" s="84">
        <f t="shared" si="43"/>
        <v>0</v>
      </c>
      <c r="AH71" s="85">
        <f t="shared" si="44"/>
        <v>320</v>
      </c>
    </row>
    <row r="72" spans="1:34" s="83" customFormat="1" x14ac:dyDescent="0.3">
      <c r="A72" s="78" t="s">
        <v>36</v>
      </c>
      <c r="B72" s="79" t="s">
        <v>278</v>
      </c>
      <c r="C72" s="79" t="s">
        <v>20</v>
      </c>
      <c r="D72" s="79" t="s">
        <v>262</v>
      </c>
      <c r="E72" s="80">
        <v>12</v>
      </c>
      <c r="F72" s="80"/>
      <c r="G72" s="80">
        <v>1</v>
      </c>
      <c r="H72" s="80"/>
      <c r="I72" s="80"/>
      <c r="J72" s="80"/>
      <c r="K72" s="80"/>
      <c r="L72" s="80">
        <v>1</v>
      </c>
      <c r="M72" s="80"/>
      <c r="N72" s="80"/>
      <c r="O72" s="80"/>
      <c r="P72" s="80">
        <f t="shared" si="31"/>
        <v>2</v>
      </c>
      <c r="Q72" s="9">
        <v>10</v>
      </c>
      <c r="R72" s="9">
        <f t="shared" si="30"/>
        <v>3200</v>
      </c>
      <c r="S72" s="80">
        <f t="shared" si="32"/>
        <v>10</v>
      </c>
      <c r="T72" s="81">
        <v>320</v>
      </c>
      <c r="U72" s="82">
        <f t="shared" si="33"/>
        <v>3200</v>
      </c>
      <c r="W72" s="80">
        <v>19</v>
      </c>
      <c r="X72" s="83">
        <f t="shared" si="34"/>
        <v>29</v>
      </c>
      <c r="Y72" s="84">
        <f t="shared" si="35"/>
        <v>320</v>
      </c>
      <c r="Z72" s="84">
        <f t="shared" si="36"/>
        <v>0</v>
      </c>
      <c r="AA72" s="84">
        <f t="shared" si="37"/>
        <v>0</v>
      </c>
      <c r="AB72" s="84">
        <f t="shared" si="38"/>
        <v>0</v>
      </c>
      <c r="AC72" s="84">
        <f t="shared" si="39"/>
        <v>0</v>
      </c>
      <c r="AD72" s="84">
        <f t="shared" si="40"/>
        <v>320</v>
      </c>
      <c r="AE72" s="84">
        <f t="shared" si="41"/>
        <v>0</v>
      </c>
      <c r="AF72" s="84">
        <f t="shared" si="42"/>
        <v>0</v>
      </c>
      <c r="AG72" s="84">
        <f t="shared" si="43"/>
        <v>0</v>
      </c>
      <c r="AH72" s="85">
        <f t="shared" si="44"/>
        <v>640</v>
      </c>
    </row>
    <row r="73" spans="1:34" s="83" customFormat="1" x14ac:dyDescent="0.3">
      <c r="A73" s="78" t="s">
        <v>36</v>
      </c>
      <c r="B73" s="79" t="s">
        <v>279</v>
      </c>
      <c r="C73" s="79" t="s">
        <v>20</v>
      </c>
      <c r="D73" s="79" t="s">
        <v>263</v>
      </c>
      <c r="E73" s="80">
        <v>0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>
        <f t="shared" ref="P73:P76" si="47">SUM(G73:O73)</f>
        <v>0</v>
      </c>
      <c r="Q73" s="9">
        <v>5</v>
      </c>
      <c r="R73" s="9">
        <f t="shared" si="30"/>
        <v>1800</v>
      </c>
      <c r="S73" s="80">
        <f t="shared" si="32"/>
        <v>0</v>
      </c>
      <c r="T73" s="81">
        <v>360</v>
      </c>
      <c r="U73" s="82">
        <f t="shared" si="33"/>
        <v>0</v>
      </c>
      <c r="W73" s="80"/>
      <c r="X73" s="83">
        <f t="shared" si="34"/>
        <v>0</v>
      </c>
      <c r="Y73" s="84">
        <f t="shared" si="35"/>
        <v>0</v>
      </c>
      <c r="Z73" s="84">
        <f t="shared" si="36"/>
        <v>0</v>
      </c>
      <c r="AA73" s="84">
        <f t="shared" si="37"/>
        <v>0</v>
      </c>
      <c r="AB73" s="84">
        <f t="shared" si="38"/>
        <v>0</v>
      </c>
      <c r="AC73" s="84">
        <f t="shared" si="39"/>
        <v>0</v>
      </c>
      <c r="AD73" s="84">
        <f t="shared" si="40"/>
        <v>0</v>
      </c>
      <c r="AE73" s="84">
        <f t="shared" si="41"/>
        <v>0</v>
      </c>
      <c r="AF73" s="84">
        <f t="shared" si="42"/>
        <v>0</v>
      </c>
      <c r="AG73" s="84">
        <f t="shared" si="43"/>
        <v>0</v>
      </c>
      <c r="AH73" s="85">
        <f t="shared" si="44"/>
        <v>0</v>
      </c>
    </row>
    <row r="74" spans="1:34" s="83" customFormat="1" x14ac:dyDescent="0.3">
      <c r="A74" s="78" t="s">
        <v>36</v>
      </c>
      <c r="B74" s="79" t="s">
        <v>280</v>
      </c>
      <c r="C74" s="79" t="s">
        <v>20</v>
      </c>
      <c r="D74" s="79" t="s">
        <v>264</v>
      </c>
      <c r="E74" s="80">
        <v>0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>
        <f t="shared" si="47"/>
        <v>0</v>
      </c>
      <c r="Q74" s="9">
        <v>2</v>
      </c>
      <c r="R74" s="9">
        <f t="shared" si="30"/>
        <v>720</v>
      </c>
      <c r="S74" s="80">
        <f t="shared" si="32"/>
        <v>0</v>
      </c>
      <c r="T74" s="81">
        <v>360</v>
      </c>
      <c r="U74" s="82">
        <f t="shared" si="33"/>
        <v>0</v>
      </c>
      <c r="W74" s="80"/>
      <c r="X74" s="83">
        <f t="shared" si="34"/>
        <v>0</v>
      </c>
      <c r="Y74" s="84">
        <f t="shared" si="35"/>
        <v>0</v>
      </c>
      <c r="Z74" s="84">
        <f t="shared" si="36"/>
        <v>0</v>
      </c>
      <c r="AA74" s="84">
        <f t="shared" si="37"/>
        <v>0</v>
      </c>
      <c r="AB74" s="84">
        <f t="shared" si="38"/>
        <v>0</v>
      </c>
      <c r="AC74" s="84">
        <f t="shared" si="39"/>
        <v>0</v>
      </c>
      <c r="AD74" s="84">
        <f t="shared" si="40"/>
        <v>0</v>
      </c>
      <c r="AE74" s="84">
        <f t="shared" si="41"/>
        <v>0</v>
      </c>
      <c r="AF74" s="84">
        <f t="shared" si="42"/>
        <v>0</v>
      </c>
      <c r="AG74" s="84">
        <f t="shared" si="43"/>
        <v>0</v>
      </c>
      <c r="AH74" s="85">
        <f t="shared" si="44"/>
        <v>0</v>
      </c>
    </row>
    <row r="75" spans="1:34" s="83" customFormat="1" x14ac:dyDescent="0.3">
      <c r="A75" s="78" t="s">
        <v>36</v>
      </c>
      <c r="B75" s="79" t="s">
        <v>281</v>
      </c>
      <c r="C75" s="79" t="s">
        <v>20</v>
      </c>
      <c r="D75" s="79" t="s">
        <v>265</v>
      </c>
      <c r="E75" s="80">
        <v>0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>
        <f t="shared" si="47"/>
        <v>0</v>
      </c>
      <c r="Q75" s="9">
        <v>2</v>
      </c>
      <c r="R75" s="9">
        <f t="shared" si="30"/>
        <v>720</v>
      </c>
      <c r="S75" s="80">
        <f t="shared" si="32"/>
        <v>0</v>
      </c>
      <c r="T75" s="81">
        <v>360</v>
      </c>
      <c r="U75" s="82">
        <f t="shared" si="33"/>
        <v>0</v>
      </c>
      <c r="W75" s="80"/>
      <c r="X75" s="83">
        <f t="shared" si="34"/>
        <v>0</v>
      </c>
      <c r="Y75" s="84">
        <f t="shared" si="35"/>
        <v>0</v>
      </c>
      <c r="Z75" s="84">
        <f t="shared" si="36"/>
        <v>0</v>
      </c>
      <c r="AA75" s="84">
        <f t="shared" si="37"/>
        <v>0</v>
      </c>
      <c r="AB75" s="84">
        <f t="shared" si="38"/>
        <v>0</v>
      </c>
      <c r="AC75" s="84">
        <f t="shared" si="39"/>
        <v>0</v>
      </c>
      <c r="AD75" s="84">
        <f t="shared" si="40"/>
        <v>0</v>
      </c>
      <c r="AE75" s="84">
        <f t="shared" si="41"/>
        <v>0</v>
      </c>
      <c r="AF75" s="84">
        <f t="shared" si="42"/>
        <v>0</v>
      </c>
      <c r="AG75" s="84">
        <f t="shared" si="43"/>
        <v>0</v>
      </c>
      <c r="AH75" s="85">
        <f t="shared" si="44"/>
        <v>0</v>
      </c>
    </row>
    <row r="76" spans="1:34" s="83" customFormat="1" x14ac:dyDescent="0.3">
      <c r="A76" s="78" t="s">
        <v>36</v>
      </c>
      <c r="B76" s="79" t="s">
        <v>282</v>
      </c>
      <c r="C76" s="79" t="s">
        <v>20</v>
      </c>
      <c r="D76" s="79" t="s">
        <v>266</v>
      </c>
      <c r="E76" s="80">
        <v>0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>
        <f t="shared" si="47"/>
        <v>0</v>
      </c>
      <c r="Q76" s="9">
        <v>2</v>
      </c>
      <c r="R76" s="9">
        <f t="shared" si="30"/>
        <v>720</v>
      </c>
      <c r="S76" s="80">
        <f t="shared" si="32"/>
        <v>0</v>
      </c>
      <c r="T76" s="81">
        <v>360</v>
      </c>
      <c r="U76" s="82">
        <f t="shared" si="33"/>
        <v>0</v>
      </c>
      <c r="W76" s="80"/>
      <c r="X76" s="83">
        <f t="shared" si="34"/>
        <v>0</v>
      </c>
      <c r="Y76" s="84">
        <f t="shared" si="35"/>
        <v>0</v>
      </c>
      <c r="Z76" s="84">
        <f t="shared" si="36"/>
        <v>0</v>
      </c>
      <c r="AA76" s="84">
        <f t="shared" si="37"/>
        <v>0</v>
      </c>
      <c r="AB76" s="84">
        <f t="shared" si="38"/>
        <v>0</v>
      </c>
      <c r="AC76" s="84">
        <f t="shared" si="39"/>
        <v>0</v>
      </c>
      <c r="AD76" s="84">
        <f t="shared" si="40"/>
        <v>0</v>
      </c>
      <c r="AE76" s="84">
        <f t="shared" si="41"/>
        <v>0</v>
      </c>
      <c r="AF76" s="84">
        <f t="shared" si="42"/>
        <v>0</v>
      </c>
      <c r="AG76" s="84">
        <f t="shared" si="43"/>
        <v>0</v>
      </c>
      <c r="AH76" s="85">
        <f t="shared" si="44"/>
        <v>0</v>
      </c>
    </row>
    <row r="77" spans="1:34" s="83" customFormat="1" x14ac:dyDescent="0.3">
      <c r="A77" s="78" t="s">
        <v>36</v>
      </c>
      <c r="B77" s="79" t="s">
        <v>283</v>
      </c>
      <c r="C77" s="79" t="s">
        <v>20</v>
      </c>
      <c r="D77" s="79" t="s">
        <v>267</v>
      </c>
      <c r="E77" s="80">
        <v>0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>
        <f>SUM(G77:O77)</f>
        <v>0</v>
      </c>
      <c r="Q77" s="9">
        <v>10</v>
      </c>
      <c r="R77" s="9">
        <f t="shared" si="30"/>
        <v>4300</v>
      </c>
      <c r="S77" s="80">
        <f>E77+F77-P77</f>
        <v>0</v>
      </c>
      <c r="T77" s="81">
        <v>430</v>
      </c>
      <c r="U77" s="82">
        <f>S77*T77</f>
        <v>0</v>
      </c>
      <c r="W77" s="80"/>
      <c r="X77" s="83">
        <f t="shared" si="34"/>
        <v>0</v>
      </c>
      <c r="Y77" s="84">
        <f t="shared" si="35"/>
        <v>0</v>
      </c>
      <c r="Z77" s="84">
        <f t="shared" si="36"/>
        <v>0</v>
      </c>
      <c r="AA77" s="84">
        <f t="shared" si="37"/>
        <v>0</v>
      </c>
      <c r="AB77" s="84">
        <f t="shared" si="38"/>
        <v>0</v>
      </c>
      <c r="AC77" s="84">
        <f t="shared" si="39"/>
        <v>0</v>
      </c>
      <c r="AD77" s="84">
        <f t="shared" si="40"/>
        <v>0</v>
      </c>
      <c r="AE77" s="84">
        <f t="shared" si="41"/>
        <v>0</v>
      </c>
      <c r="AF77" s="84">
        <f t="shared" si="42"/>
        <v>0</v>
      </c>
      <c r="AG77" s="84">
        <f t="shared" si="43"/>
        <v>0</v>
      </c>
      <c r="AH77" s="85">
        <f t="shared" si="44"/>
        <v>0</v>
      </c>
    </row>
    <row r="78" spans="1:34" s="83" customFormat="1" x14ac:dyDescent="0.3">
      <c r="A78" s="78" t="s">
        <v>36</v>
      </c>
      <c r="B78" s="79" t="s">
        <v>284</v>
      </c>
      <c r="C78" s="79" t="s">
        <v>20</v>
      </c>
      <c r="D78" s="79" t="s">
        <v>268</v>
      </c>
      <c r="E78" s="80">
        <v>0</v>
      </c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>
        <f>SUM(G78:O78)</f>
        <v>0</v>
      </c>
      <c r="Q78" s="9">
        <v>3</v>
      </c>
      <c r="R78" s="9">
        <f t="shared" si="30"/>
        <v>1290</v>
      </c>
      <c r="S78" s="80">
        <f>E78+F78-P78</f>
        <v>0</v>
      </c>
      <c r="T78" s="81">
        <v>430</v>
      </c>
      <c r="U78" s="82">
        <f>S78*T78</f>
        <v>0</v>
      </c>
      <c r="W78" s="80">
        <v>4</v>
      </c>
      <c r="X78" s="83">
        <f t="shared" si="34"/>
        <v>4</v>
      </c>
      <c r="Y78" s="84">
        <f t="shared" si="35"/>
        <v>0</v>
      </c>
      <c r="Z78" s="84">
        <f t="shared" si="36"/>
        <v>0</v>
      </c>
      <c r="AA78" s="84">
        <f t="shared" si="37"/>
        <v>0</v>
      </c>
      <c r="AB78" s="84">
        <f t="shared" si="38"/>
        <v>0</v>
      </c>
      <c r="AC78" s="84">
        <f t="shared" si="39"/>
        <v>0</v>
      </c>
      <c r="AD78" s="84">
        <f t="shared" si="40"/>
        <v>0</v>
      </c>
      <c r="AE78" s="84">
        <f t="shared" si="41"/>
        <v>0</v>
      </c>
      <c r="AF78" s="84">
        <f t="shared" si="42"/>
        <v>0</v>
      </c>
      <c r="AG78" s="84">
        <f t="shared" si="43"/>
        <v>0</v>
      </c>
      <c r="AH78" s="85">
        <f t="shared" si="44"/>
        <v>0</v>
      </c>
    </row>
    <row r="79" spans="1:34" s="83" customFormat="1" x14ac:dyDescent="0.3">
      <c r="A79" s="78" t="s">
        <v>36</v>
      </c>
      <c r="B79" s="79" t="s">
        <v>285</v>
      </c>
      <c r="C79" s="79" t="s">
        <v>20</v>
      </c>
      <c r="D79" s="79" t="s">
        <v>269</v>
      </c>
      <c r="E79" s="80">
        <v>0</v>
      </c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>
        <f>SUM(G79:O79)</f>
        <v>0</v>
      </c>
      <c r="Q79" s="9">
        <v>3</v>
      </c>
      <c r="R79" s="9">
        <f t="shared" si="30"/>
        <v>1290</v>
      </c>
      <c r="S79" s="80">
        <f>E79+F79-P79</f>
        <v>0</v>
      </c>
      <c r="T79" s="81">
        <v>430</v>
      </c>
      <c r="U79" s="82">
        <f>S79*T79</f>
        <v>0</v>
      </c>
      <c r="W79" s="80">
        <v>5</v>
      </c>
      <c r="X79" s="83">
        <f t="shared" si="34"/>
        <v>5</v>
      </c>
      <c r="Y79" s="84">
        <f t="shared" si="35"/>
        <v>0</v>
      </c>
      <c r="Z79" s="84">
        <f t="shared" si="36"/>
        <v>0</v>
      </c>
      <c r="AA79" s="84">
        <f t="shared" si="37"/>
        <v>0</v>
      </c>
      <c r="AB79" s="84">
        <f t="shared" si="38"/>
        <v>0</v>
      </c>
      <c r="AC79" s="84">
        <f t="shared" si="39"/>
        <v>0</v>
      </c>
      <c r="AD79" s="84">
        <f t="shared" si="40"/>
        <v>0</v>
      </c>
      <c r="AE79" s="84">
        <f t="shared" si="41"/>
        <v>0</v>
      </c>
      <c r="AF79" s="84">
        <f t="shared" si="42"/>
        <v>0</v>
      </c>
      <c r="AG79" s="84">
        <f t="shared" si="43"/>
        <v>0</v>
      </c>
      <c r="AH79" s="85">
        <f t="shared" si="44"/>
        <v>0</v>
      </c>
    </row>
    <row r="80" spans="1:34" s="83" customFormat="1" x14ac:dyDescent="0.3">
      <c r="A80" s="78" t="s">
        <v>36</v>
      </c>
      <c r="B80" s="79" t="s">
        <v>286</v>
      </c>
      <c r="C80" s="79" t="s">
        <v>20</v>
      </c>
      <c r="D80" s="79" t="s">
        <v>270</v>
      </c>
      <c r="E80" s="80">
        <v>0</v>
      </c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>
        <f>SUM(G80:O80)</f>
        <v>0</v>
      </c>
      <c r="Q80" s="9">
        <v>3</v>
      </c>
      <c r="R80" s="9">
        <f t="shared" si="30"/>
        <v>1290</v>
      </c>
      <c r="S80" s="80">
        <f>E80+F80-P80</f>
        <v>0</v>
      </c>
      <c r="T80" s="81">
        <v>430</v>
      </c>
      <c r="U80" s="82">
        <f>S80*T80</f>
        <v>0</v>
      </c>
      <c r="W80" s="80">
        <v>3</v>
      </c>
      <c r="X80" s="83">
        <f t="shared" si="34"/>
        <v>3</v>
      </c>
      <c r="Y80" s="84">
        <f t="shared" si="35"/>
        <v>0</v>
      </c>
      <c r="Z80" s="84">
        <f t="shared" si="36"/>
        <v>0</v>
      </c>
      <c r="AA80" s="84">
        <f t="shared" si="37"/>
        <v>0</v>
      </c>
      <c r="AB80" s="84">
        <f t="shared" si="38"/>
        <v>0</v>
      </c>
      <c r="AC80" s="84">
        <f t="shared" si="39"/>
        <v>0</v>
      </c>
      <c r="AD80" s="84">
        <f t="shared" si="40"/>
        <v>0</v>
      </c>
      <c r="AE80" s="84">
        <f t="shared" si="41"/>
        <v>0</v>
      </c>
      <c r="AF80" s="84">
        <f t="shared" si="42"/>
        <v>0</v>
      </c>
      <c r="AG80" s="84">
        <f t="shared" si="43"/>
        <v>0</v>
      </c>
      <c r="AH80" s="85">
        <f t="shared" si="44"/>
        <v>0</v>
      </c>
    </row>
    <row r="81" spans="1:35" s="36" customFormat="1" x14ac:dyDescent="0.3">
      <c r="A81" s="86" t="s">
        <v>36</v>
      </c>
      <c r="B81" s="87" t="s">
        <v>291</v>
      </c>
      <c r="C81" s="87" t="s">
        <v>17</v>
      </c>
      <c r="D81" s="87" t="s">
        <v>288</v>
      </c>
      <c r="E81" s="88">
        <v>8</v>
      </c>
      <c r="F81" s="88">
        <v>20</v>
      </c>
      <c r="G81" s="88">
        <v>3</v>
      </c>
      <c r="H81" s="88">
        <v>3</v>
      </c>
      <c r="I81" s="88"/>
      <c r="J81" s="88">
        <v>1</v>
      </c>
      <c r="K81" s="88">
        <v>1</v>
      </c>
      <c r="L81" s="88"/>
      <c r="M81" s="88"/>
      <c r="N81" s="88">
        <v>1</v>
      </c>
      <c r="O81" s="88">
        <v>2</v>
      </c>
      <c r="P81" s="88">
        <f t="shared" ref="P81" si="48">SUM(G81:O81)</f>
        <v>11</v>
      </c>
      <c r="Q81" s="9">
        <v>10</v>
      </c>
      <c r="R81" s="9">
        <f t="shared" si="30"/>
        <v>250</v>
      </c>
      <c r="S81" s="88">
        <f t="shared" ref="S81:S83" si="49">E81+F81-P81</f>
        <v>17</v>
      </c>
      <c r="T81" s="89">
        <v>25</v>
      </c>
      <c r="U81" s="90">
        <f t="shared" ref="U81:U106" si="50">S81*T81</f>
        <v>425</v>
      </c>
      <c r="W81" s="36">
        <v>0</v>
      </c>
      <c r="X81" s="36">
        <f t="shared" si="34"/>
        <v>17</v>
      </c>
      <c r="Y81" s="91">
        <f t="shared" si="35"/>
        <v>75</v>
      </c>
      <c r="Z81" s="91">
        <f t="shared" si="36"/>
        <v>75</v>
      </c>
      <c r="AA81" s="91">
        <f t="shared" si="37"/>
        <v>0</v>
      </c>
      <c r="AB81" s="91">
        <f t="shared" si="38"/>
        <v>25</v>
      </c>
      <c r="AC81" s="91">
        <f t="shared" si="39"/>
        <v>25</v>
      </c>
      <c r="AD81" s="91">
        <f t="shared" si="40"/>
        <v>0</v>
      </c>
      <c r="AE81" s="91">
        <f t="shared" si="41"/>
        <v>0</v>
      </c>
      <c r="AF81" s="91">
        <f t="shared" si="42"/>
        <v>25</v>
      </c>
      <c r="AG81" s="91">
        <f t="shared" si="43"/>
        <v>50</v>
      </c>
      <c r="AH81" s="91">
        <f>P81*$T81</f>
        <v>275</v>
      </c>
      <c r="AI81" s="91">
        <f>S81*$T81</f>
        <v>425</v>
      </c>
    </row>
    <row r="82" spans="1:35" s="12" customFormat="1" x14ac:dyDescent="0.3">
      <c r="A82" s="7" t="s">
        <v>37</v>
      </c>
      <c r="B82" s="8" t="s">
        <v>296</v>
      </c>
      <c r="C82" s="8" t="s">
        <v>17</v>
      </c>
      <c r="D82" s="8" t="s">
        <v>355</v>
      </c>
      <c r="E82" s="9">
        <v>1</v>
      </c>
      <c r="F82" s="9"/>
      <c r="G82" s="9">
        <v>1</v>
      </c>
      <c r="H82" s="9"/>
      <c r="I82" s="9"/>
      <c r="J82" s="9"/>
      <c r="K82" s="9"/>
      <c r="L82" s="9"/>
      <c r="M82" s="9"/>
      <c r="N82" s="9"/>
      <c r="O82" s="9"/>
      <c r="P82" s="9">
        <f t="shared" ref="P82:P83" si="51">SUM(G82:O82)</f>
        <v>1</v>
      </c>
      <c r="Q82" s="9">
        <v>2</v>
      </c>
      <c r="R82" s="9">
        <f t="shared" si="30"/>
        <v>90</v>
      </c>
      <c r="S82" s="9">
        <f t="shared" si="49"/>
        <v>0</v>
      </c>
      <c r="T82" s="10">
        <v>45</v>
      </c>
      <c r="U82" s="11">
        <f t="shared" si="50"/>
        <v>0</v>
      </c>
      <c r="W82" s="9">
        <v>0</v>
      </c>
      <c r="X82" s="39">
        <f t="shared" si="34"/>
        <v>0</v>
      </c>
      <c r="Y82" s="45">
        <f t="shared" si="35"/>
        <v>45</v>
      </c>
      <c r="Z82" s="45">
        <f t="shared" si="36"/>
        <v>0</v>
      </c>
      <c r="AA82" s="45">
        <f t="shared" si="37"/>
        <v>0</v>
      </c>
      <c r="AB82" s="45">
        <f t="shared" si="38"/>
        <v>0</v>
      </c>
      <c r="AC82" s="45">
        <f t="shared" si="39"/>
        <v>0</v>
      </c>
      <c r="AD82" s="45">
        <f t="shared" si="40"/>
        <v>0</v>
      </c>
      <c r="AE82" s="45">
        <f t="shared" si="41"/>
        <v>0</v>
      </c>
      <c r="AF82" s="45">
        <f t="shared" si="42"/>
        <v>0</v>
      </c>
      <c r="AG82" s="45">
        <f t="shared" si="43"/>
        <v>0</v>
      </c>
      <c r="AH82" s="45">
        <f>P82*$T82</f>
        <v>45</v>
      </c>
      <c r="AI82" s="45">
        <f>S82*$T82</f>
        <v>0</v>
      </c>
    </row>
    <row r="83" spans="1:35" s="12" customFormat="1" x14ac:dyDescent="0.3">
      <c r="A83" s="7" t="s">
        <v>37</v>
      </c>
      <c r="B83" s="8" t="s">
        <v>297</v>
      </c>
      <c r="C83" s="8" t="s">
        <v>17</v>
      </c>
      <c r="D83" s="8" t="s">
        <v>349</v>
      </c>
      <c r="E83" s="9">
        <v>0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>
        <f t="shared" si="51"/>
        <v>0</v>
      </c>
      <c r="Q83" s="9">
        <v>4</v>
      </c>
      <c r="R83" s="9">
        <f t="shared" si="30"/>
        <v>2000</v>
      </c>
      <c r="S83" s="9">
        <f t="shared" si="49"/>
        <v>0</v>
      </c>
      <c r="T83" s="10">
        <v>500</v>
      </c>
      <c r="U83" s="11">
        <f t="shared" si="50"/>
        <v>0</v>
      </c>
      <c r="W83" s="9">
        <v>0</v>
      </c>
      <c r="X83" s="39">
        <f t="shared" si="34"/>
        <v>0</v>
      </c>
      <c r="Y83" s="45">
        <f t="shared" si="35"/>
        <v>0</v>
      </c>
      <c r="Z83" s="45">
        <f t="shared" si="36"/>
        <v>0</v>
      </c>
      <c r="AA83" s="45">
        <f t="shared" si="37"/>
        <v>0</v>
      </c>
      <c r="AB83" s="45">
        <f t="shared" si="38"/>
        <v>0</v>
      </c>
      <c r="AC83" s="45">
        <f t="shared" si="39"/>
        <v>0</v>
      </c>
      <c r="AD83" s="45">
        <f t="shared" si="40"/>
        <v>0</v>
      </c>
      <c r="AE83" s="45">
        <f t="shared" si="41"/>
        <v>0</v>
      </c>
      <c r="AF83" s="45">
        <f t="shared" si="42"/>
        <v>0</v>
      </c>
      <c r="AG83" s="45">
        <f t="shared" si="43"/>
        <v>0</v>
      </c>
      <c r="AH83" s="45">
        <f>P83*$T83</f>
        <v>0</v>
      </c>
      <c r="AI83" s="45">
        <f>S83*$T83</f>
        <v>0</v>
      </c>
    </row>
    <row r="84" spans="1:35" s="31" customFormat="1" x14ac:dyDescent="0.3">
      <c r="A84" s="28"/>
      <c r="B84" s="29" t="s">
        <v>45</v>
      </c>
      <c r="C84" s="29"/>
      <c r="D84" s="29" t="s">
        <v>106</v>
      </c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9"/>
      <c r="R84" s="9">
        <f>SUM(R85:R106)</f>
        <v>50000</v>
      </c>
      <c r="S84" s="5"/>
      <c r="T84" s="30"/>
      <c r="U84" s="11"/>
      <c r="X84" s="39"/>
      <c r="Y84" s="45"/>
      <c r="Z84" s="45"/>
      <c r="AA84" s="45"/>
      <c r="AB84" s="45">
        <f t="shared" ref="AB84:AB91" si="52">J84*$T84</f>
        <v>0</v>
      </c>
      <c r="AC84" s="45">
        <f t="shared" ref="AC84:AC91" si="53">K84*$T84</f>
        <v>0</v>
      </c>
      <c r="AD84" s="45">
        <f t="shared" ref="AD84:AD91" si="54">L84*$T84</f>
        <v>0</v>
      </c>
      <c r="AE84" s="45"/>
      <c r="AF84" s="45"/>
      <c r="AG84" s="45"/>
      <c r="AH84" s="37"/>
      <c r="AI84" s="32">
        <f>SUM(AH81:AH106)</f>
        <v>7838.5</v>
      </c>
    </row>
    <row r="85" spans="1:35" s="12" customFormat="1" x14ac:dyDescent="0.3">
      <c r="A85" s="7" t="s">
        <v>36</v>
      </c>
      <c r="B85" s="8" t="s">
        <v>299</v>
      </c>
      <c r="C85" s="8" t="s">
        <v>17</v>
      </c>
      <c r="D85" s="8" t="s">
        <v>107</v>
      </c>
      <c r="E85" s="9">
        <v>65</v>
      </c>
      <c r="F85" s="9"/>
      <c r="G85" s="9">
        <v>2</v>
      </c>
      <c r="H85" s="9">
        <v>1</v>
      </c>
      <c r="I85" s="9"/>
      <c r="J85" s="9"/>
      <c r="K85" s="9">
        <v>1</v>
      </c>
      <c r="L85" s="9">
        <v>1</v>
      </c>
      <c r="M85" s="9"/>
      <c r="N85" s="9">
        <v>1</v>
      </c>
      <c r="O85" s="9">
        <v>6</v>
      </c>
      <c r="P85" s="9">
        <f t="shared" ref="P85:P106" si="55">SUM(G85:O85)</f>
        <v>12</v>
      </c>
      <c r="Q85" s="9">
        <v>100</v>
      </c>
      <c r="R85" s="9">
        <f>Q85*T85</f>
        <v>6250</v>
      </c>
      <c r="S85" s="9">
        <f t="shared" ref="S85:S106" si="56">E85+F85-P85</f>
        <v>53</v>
      </c>
      <c r="T85" s="10">
        <v>62.5</v>
      </c>
      <c r="U85" s="11">
        <f t="shared" si="50"/>
        <v>3312.5</v>
      </c>
      <c r="W85" s="9">
        <v>0</v>
      </c>
      <c r="X85" s="39">
        <f t="shared" ref="X85:X104" si="57">S85+W85</f>
        <v>53</v>
      </c>
      <c r="Y85" s="45">
        <f t="shared" ref="Y85:Y106" si="58">G85*$T85</f>
        <v>125</v>
      </c>
      <c r="Z85" s="45">
        <f t="shared" ref="Z85:Z106" si="59">H85*$T85</f>
        <v>62.5</v>
      </c>
      <c r="AA85" s="45">
        <f t="shared" ref="AA85:AA106" si="60">I85*$T85</f>
        <v>0</v>
      </c>
      <c r="AB85" s="45">
        <f t="shared" si="52"/>
        <v>0</v>
      </c>
      <c r="AC85" s="45">
        <f t="shared" si="53"/>
        <v>62.5</v>
      </c>
      <c r="AD85" s="45">
        <f t="shared" si="54"/>
        <v>62.5</v>
      </c>
      <c r="AE85" s="45">
        <f t="shared" ref="AE85:AE106" si="61">M85*$T85</f>
        <v>0</v>
      </c>
      <c r="AF85" s="45">
        <f t="shared" ref="AF85:AF106" si="62">N85*$T85</f>
        <v>62.5</v>
      </c>
      <c r="AG85" s="45">
        <f t="shared" ref="AG85:AG106" si="63">O85*$T85</f>
        <v>375</v>
      </c>
      <c r="AH85" s="37">
        <f t="shared" ref="AH85:AH106" si="64">$P85*$T85</f>
        <v>750</v>
      </c>
    </row>
    <row r="86" spans="1:35" s="12" customFormat="1" x14ac:dyDescent="0.3">
      <c r="A86" s="7" t="s">
        <v>36</v>
      </c>
      <c r="B86" s="8" t="s">
        <v>300</v>
      </c>
      <c r="C86" s="8" t="s">
        <v>17</v>
      </c>
      <c r="D86" s="8" t="s">
        <v>108</v>
      </c>
      <c r="E86" s="9">
        <v>30</v>
      </c>
      <c r="F86" s="9"/>
      <c r="G86" s="9">
        <v>4</v>
      </c>
      <c r="H86" s="9"/>
      <c r="I86" s="9"/>
      <c r="J86" s="9">
        <v>2</v>
      </c>
      <c r="K86" s="9"/>
      <c r="L86" s="9"/>
      <c r="M86" s="9"/>
      <c r="N86" s="9"/>
      <c r="O86" s="9"/>
      <c r="P86" s="9">
        <f t="shared" si="55"/>
        <v>6</v>
      </c>
      <c r="Q86" s="9">
        <v>150</v>
      </c>
      <c r="R86" s="9">
        <f>Q86*T86</f>
        <v>10350</v>
      </c>
      <c r="S86" s="9">
        <f t="shared" si="56"/>
        <v>24</v>
      </c>
      <c r="T86" s="10">
        <v>69</v>
      </c>
      <c r="U86" s="11">
        <f t="shared" si="50"/>
        <v>1656</v>
      </c>
      <c r="W86" s="9">
        <v>0</v>
      </c>
      <c r="X86" s="39">
        <f t="shared" si="57"/>
        <v>24</v>
      </c>
      <c r="Y86" s="45">
        <f t="shared" si="58"/>
        <v>276</v>
      </c>
      <c r="Z86" s="45">
        <f t="shared" si="59"/>
        <v>0</v>
      </c>
      <c r="AA86" s="45">
        <f t="shared" si="60"/>
        <v>0</v>
      </c>
      <c r="AB86" s="45">
        <f t="shared" si="52"/>
        <v>138</v>
      </c>
      <c r="AC86" s="45">
        <f t="shared" si="53"/>
        <v>0</v>
      </c>
      <c r="AD86" s="45">
        <f t="shared" si="54"/>
        <v>0</v>
      </c>
      <c r="AE86" s="45">
        <f t="shared" si="61"/>
        <v>0</v>
      </c>
      <c r="AF86" s="45">
        <f t="shared" si="62"/>
        <v>0</v>
      </c>
      <c r="AG86" s="45">
        <f t="shared" si="63"/>
        <v>0</v>
      </c>
      <c r="AH86" s="37">
        <f t="shared" si="64"/>
        <v>414</v>
      </c>
    </row>
    <row r="87" spans="1:35" s="39" customFormat="1" x14ac:dyDescent="0.3">
      <c r="A87" s="49" t="s">
        <v>36</v>
      </c>
      <c r="B87" s="50" t="s">
        <v>304</v>
      </c>
      <c r="C87" s="50" t="s">
        <v>22</v>
      </c>
      <c r="D87" s="50" t="s">
        <v>305</v>
      </c>
      <c r="E87" s="51">
        <v>22</v>
      </c>
      <c r="F87" s="51">
        <v>20</v>
      </c>
      <c r="G87" s="51"/>
      <c r="H87" s="51"/>
      <c r="I87" s="51">
        <v>1</v>
      </c>
      <c r="J87" s="51">
        <v>1</v>
      </c>
      <c r="K87" s="51">
        <v>1</v>
      </c>
      <c r="L87" s="51">
        <v>2</v>
      </c>
      <c r="M87" s="51">
        <v>2</v>
      </c>
      <c r="N87" s="51">
        <v>1</v>
      </c>
      <c r="O87" s="51">
        <v>2</v>
      </c>
      <c r="P87" s="51">
        <f t="shared" si="55"/>
        <v>10</v>
      </c>
      <c r="Q87" s="9">
        <v>75</v>
      </c>
      <c r="R87" s="9">
        <f t="shared" si="30"/>
        <v>2100</v>
      </c>
      <c r="S87" s="51">
        <f t="shared" si="56"/>
        <v>32</v>
      </c>
      <c r="T87" s="52">
        <v>28</v>
      </c>
      <c r="U87" s="53">
        <f t="shared" si="50"/>
        <v>896</v>
      </c>
      <c r="W87" s="51">
        <v>0</v>
      </c>
      <c r="X87" s="39">
        <f t="shared" si="57"/>
        <v>32</v>
      </c>
      <c r="Y87" s="54">
        <f t="shared" si="58"/>
        <v>0</v>
      </c>
      <c r="Z87" s="54">
        <f t="shared" si="59"/>
        <v>0</v>
      </c>
      <c r="AA87" s="54">
        <f t="shared" si="60"/>
        <v>28</v>
      </c>
      <c r="AB87" s="54">
        <f t="shared" si="52"/>
        <v>28</v>
      </c>
      <c r="AC87" s="54">
        <f t="shared" si="53"/>
        <v>28</v>
      </c>
      <c r="AD87" s="54">
        <f t="shared" si="54"/>
        <v>56</v>
      </c>
      <c r="AE87" s="54">
        <f t="shared" si="61"/>
        <v>56</v>
      </c>
      <c r="AF87" s="54">
        <f t="shared" si="62"/>
        <v>28</v>
      </c>
      <c r="AG87" s="54">
        <f t="shared" si="63"/>
        <v>56</v>
      </c>
      <c r="AH87" s="55">
        <f t="shared" si="64"/>
        <v>280</v>
      </c>
    </row>
    <row r="88" spans="1:35" s="39" customFormat="1" x14ac:dyDescent="0.3">
      <c r="A88" s="49" t="s">
        <v>36</v>
      </c>
      <c r="B88" s="50" t="s">
        <v>303</v>
      </c>
      <c r="C88" s="50" t="s">
        <v>22</v>
      </c>
      <c r="D88" s="50" t="s">
        <v>306</v>
      </c>
      <c r="E88" s="51">
        <v>68</v>
      </c>
      <c r="F88" s="51"/>
      <c r="G88" s="51">
        <v>3</v>
      </c>
      <c r="H88" s="51"/>
      <c r="I88" s="51"/>
      <c r="J88" s="51">
        <v>1</v>
      </c>
      <c r="K88" s="51"/>
      <c r="L88" s="51"/>
      <c r="M88" s="51"/>
      <c r="N88" s="51"/>
      <c r="O88" s="51"/>
      <c r="P88" s="51">
        <f t="shared" si="55"/>
        <v>4</v>
      </c>
      <c r="Q88" s="9">
        <v>20</v>
      </c>
      <c r="R88" s="9">
        <f t="shared" si="30"/>
        <v>800</v>
      </c>
      <c r="S88" s="51">
        <f t="shared" si="56"/>
        <v>64</v>
      </c>
      <c r="T88" s="52">
        <v>40</v>
      </c>
      <c r="U88" s="53">
        <f t="shared" si="50"/>
        <v>2560</v>
      </c>
      <c r="W88" s="51">
        <v>0</v>
      </c>
      <c r="X88" s="39">
        <f t="shared" si="57"/>
        <v>64</v>
      </c>
      <c r="Y88" s="54">
        <f t="shared" si="58"/>
        <v>120</v>
      </c>
      <c r="Z88" s="54">
        <f t="shared" si="59"/>
        <v>0</v>
      </c>
      <c r="AA88" s="54">
        <f t="shared" si="60"/>
        <v>0</v>
      </c>
      <c r="AB88" s="54">
        <f t="shared" si="52"/>
        <v>40</v>
      </c>
      <c r="AC88" s="54">
        <f t="shared" si="53"/>
        <v>0</v>
      </c>
      <c r="AD88" s="54">
        <f t="shared" si="54"/>
        <v>0</v>
      </c>
      <c r="AE88" s="54">
        <f t="shared" si="61"/>
        <v>0</v>
      </c>
      <c r="AF88" s="54">
        <f t="shared" si="62"/>
        <v>0</v>
      </c>
      <c r="AG88" s="54">
        <f t="shared" si="63"/>
        <v>0</v>
      </c>
      <c r="AH88" s="55">
        <f t="shared" si="64"/>
        <v>160</v>
      </c>
    </row>
    <row r="89" spans="1:35" s="39" customFormat="1" x14ac:dyDescent="0.3">
      <c r="A89" s="49" t="s">
        <v>36</v>
      </c>
      <c r="B89" s="50" t="s">
        <v>308</v>
      </c>
      <c r="C89" s="50" t="s">
        <v>22</v>
      </c>
      <c r="D89" s="50" t="s">
        <v>307</v>
      </c>
      <c r="E89" s="51">
        <v>0</v>
      </c>
      <c r="F89" s="51">
        <v>20</v>
      </c>
      <c r="G89" s="51"/>
      <c r="H89" s="51"/>
      <c r="I89" s="51">
        <v>2</v>
      </c>
      <c r="J89" s="51"/>
      <c r="K89" s="51"/>
      <c r="L89" s="51">
        <v>1</v>
      </c>
      <c r="M89" s="51">
        <v>2</v>
      </c>
      <c r="N89" s="51"/>
      <c r="O89" s="51"/>
      <c r="P89" s="51">
        <f t="shared" si="55"/>
        <v>5</v>
      </c>
      <c r="Q89" s="9">
        <v>50</v>
      </c>
      <c r="R89" s="9">
        <f t="shared" si="30"/>
        <v>2750</v>
      </c>
      <c r="S89" s="51">
        <f t="shared" si="56"/>
        <v>15</v>
      </c>
      <c r="T89" s="52">
        <v>55</v>
      </c>
      <c r="U89" s="53">
        <f t="shared" si="50"/>
        <v>825</v>
      </c>
      <c r="W89" s="51">
        <v>0</v>
      </c>
      <c r="X89" s="39">
        <f t="shared" si="57"/>
        <v>15</v>
      </c>
      <c r="Y89" s="54">
        <f t="shared" si="58"/>
        <v>0</v>
      </c>
      <c r="Z89" s="54">
        <f t="shared" si="59"/>
        <v>0</v>
      </c>
      <c r="AA89" s="54">
        <f t="shared" si="60"/>
        <v>110</v>
      </c>
      <c r="AB89" s="54">
        <f t="shared" si="52"/>
        <v>0</v>
      </c>
      <c r="AC89" s="54">
        <f t="shared" si="53"/>
        <v>0</v>
      </c>
      <c r="AD89" s="54">
        <f t="shared" si="54"/>
        <v>55</v>
      </c>
      <c r="AE89" s="54">
        <f t="shared" si="61"/>
        <v>110</v>
      </c>
      <c r="AF89" s="54">
        <f t="shared" si="62"/>
        <v>0</v>
      </c>
      <c r="AG89" s="54">
        <f t="shared" si="63"/>
        <v>0</v>
      </c>
      <c r="AH89" s="55">
        <f t="shared" si="64"/>
        <v>275</v>
      </c>
    </row>
    <row r="90" spans="1:35" s="39" customFormat="1" x14ac:dyDescent="0.3">
      <c r="A90" s="49" t="s">
        <v>36</v>
      </c>
      <c r="B90" s="50" t="s">
        <v>309</v>
      </c>
      <c r="C90" s="50" t="s">
        <v>17</v>
      </c>
      <c r="D90" s="50" t="s">
        <v>366</v>
      </c>
      <c r="E90" s="51">
        <v>7</v>
      </c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>
        <f t="shared" si="55"/>
        <v>0</v>
      </c>
      <c r="Q90" s="9">
        <v>20</v>
      </c>
      <c r="R90" s="9">
        <f t="shared" si="30"/>
        <v>2000</v>
      </c>
      <c r="S90" s="51">
        <f t="shared" si="56"/>
        <v>7</v>
      </c>
      <c r="T90" s="52">
        <v>100</v>
      </c>
      <c r="U90" s="53">
        <f t="shared" si="50"/>
        <v>700</v>
      </c>
      <c r="W90" s="51">
        <v>0</v>
      </c>
      <c r="X90" s="39">
        <f t="shared" si="57"/>
        <v>7</v>
      </c>
      <c r="Y90" s="54">
        <f t="shared" si="58"/>
        <v>0</v>
      </c>
      <c r="Z90" s="54">
        <f t="shared" si="59"/>
        <v>0</v>
      </c>
      <c r="AA90" s="54">
        <f t="shared" si="60"/>
        <v>0</v>
      </c>
      <c r="AB90" s="54">
        <f t="shared" si="52"/>
        <v>0</v>
      </c>
      <c r="AC90" s="54">
        <f t="shared" si="53"/>
        <v>0</v>
      </c>
      <c r="AD90" s="54">
        <f t="shared" si="54"/>
        <v>0</v>
      </c>
      <c r="AE90" s="54">
        <f t="shared" si="61"/>
        <v>0</v>
      </c>
      <c r="AF90" s="54">
        <f t="shared" si="62"/>
        <v>0</v>
      </c>
      <c r="AG90" s="54">
        <f t="shared" si="63"/>
        <v>0</v>
      </c>
      <c r="AH90" s="55">
        <f t="shared" si="64"/>
        <v>0</v>
      </c>
    </row>
    <row r="91" spans="1:35" s="39" customFormat="1" x14ac:dyDescent="0.3">
      <c r="A91" s="49" t="s">
        <v>36</v>
      </c>
      <c r="B91" s="50" t="s">
        <v>310</v>
      </c>
      <c r="C91" s="50" t="s">
        <v>17</v>
      </c>
      <c r="D91" s="50" t="s">
        <v>353</v>
      </c>
      <c r="E91" s="51">
        <v>10</v>
      </c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>
        <f t="shared" si="55"/>
        <v>0</v>
      </c>
      <c r="Q91" s="9">
        <v>15</v>
      </c>
      <c r="R91" s="9">
        <f t="shared" si="30"/>
        <v>525</v>
      </c>
      <c r="S91" s="51">
        <f t="shared" si="56"/>
        <v>10</v>
      </c>
      <c r="T91" s="52">
        <v>35</v>
      </c>
      <c r="U91" s="53">
        <f t="shared" si="50"/>
        <v>350</v>
      </c>
      <c r="W91" s="51"/>
      <c r="X91" s="39">
        <f t="shared" si="57"/>
        <v>10</v>
      </c>
      <c r="Y91" s="54">
        <f t="shared" si="58"/>
        <v>0</v>
      </c>
      <c r="Z91" s="54">
        <f t="shared" si="59"/>
        <v>0</v>
      </c>
      <c r="AA91" s="54">
        <f t="shared" si="60"/>
        <v>0</v>
      </c>
      <c r="AB91" s="54">
        <f t="shared" si="52"/>
        <v>0</v>
      </c>
      <c r="AC91" s="54">
        <f t="shared" si="53"/>
        <v>0</v>
      </c>
      <c r="AD91" s="54">
        <f t="shared" si="54"/>
        <v>0</v>
      </c>
      <c r="AE91" s="54">
        <f t="shared" si="61"/>
        <v>0</v>
      </c>
      <c r="AF91" s="54">
        <f t="shared" si="62"/>
        <v>0</v>
      </c>
      <c r="AG91" s="54">
        <f t="shared" si="63"/>
        <v>0</v>
      </c>
      <c r="AH91" s="55">
        <f t="shared" si="64"/>
        <v>0</v>
      </c>
    </row>
    <row r="92" spans="1:35" s="39" customFormat="1" x14ac:dyDescent="0.3">
      <c r="A92" s="49" t="s">
        <v>36</v>
      </c>
      <c r="B92" s="50" t="s">
        <v>312</v>
      </c>
      <c r="C92" s="50" t="s">
        <v>17</v>
      </c>
      <c r="D92" s="50" t="s">
        <v>314</v>
      </c>
      <c r="E92" s="51">
        <v>3</v>
      </c>
      <c r="F92" s="51"/>
      <c r="G92" s="51"/>
      <c r="H92" s="51"/>
      <c r="I92" s="51">
        <v>2</v>
      </c>
      <c r="J92" s="51"/>
      <c r="K92" s="51"/>
      <c r="L92" s="51"/>
      <c r="M92" s="51"/>
      <c r="N92" s="51"/>
      <c r="O92" s="51"/>
      <c r="P92" s="51">
        <f t="shared" si="55"/>
        <v>2</v>
      </c>
      <c r="Q92" s="9">
        <v>10</v>
      </c>
      <c r="R92" s="9">
        <f t="shared" si="30"/>
        <v>450</v>
      </c>
      <c r="S92" s="51">
        <f t="shared" si="56"/>
        <v>1</v>
      </c>
      <c r="T92" s="52">
        <v>45</v>
      </c>
      <c r="U92" s="53">
        <f t="shared" si="50"/>
        <v>45</v>
      </c>
      <c r="W92" s="51"/>
      <c r="X92" s="39">
        <f t="shared" si="57"/>
        <v>1</v>
      </c>
      <c r="Y92" s="54">
        <f t="shared" si="58"/>
        <v>0</v>
      </c>
      <c r="Z92" s="54">
        <f t="shared" si="59"/>
        <v>0</v>
      </c>
      <c r="AA92" s="54">
        <f t="shared" si="60"/>
        <v>90</v>
      </c>
      <c r="AB92" s="54">
        <f t="shared" ref="AB92:AB106" si="65">J92*$T92</f>
        <v>0</v>
      </c>
      <c r="AC92" s="54" t="e">
        <f>#REF!*$T92</f>
        <v>#REF!</v>
      </c>
      <c r="AD92" s="54">
        <f t="shared" ref="AD92:AD106" si="66">L92*$T92</f>
        <v>0</v>
      </c>
      <c r="AE92" s="54">
        <f t="shared" si="61"/>
        <v>0</v>
      </c>
      <c r="AF92" s="54">
        <f t="shared" si="62"/>
        <v>0</v>
      </c>
      <c r="AG92" s="54">
        <f t="shared" si="63"/>
        <v>0</v>
      </c>
      <c r="AH92" s="55">
        <f t="shared" si="64"/>
        <v>90</v>
      </c>
    </row>
    <row r="93" spans="1:35" s="39" customFormat="1" x14ac:dyDescent="0.3">
      <c r="A93" s="49" t="s">
        <v>36</v>
      </c>
      <c r="B93" s="50" t="s">
        <v>86</v>
      </c>
      <c r="C93" s="50" t="s">
        <v>17</v>
      </c>
      <c r="D93" s="50" t="s">
        <v>316</v>
      </c>
      <c r="E93" s="51">
        <v>0</v>
      </c>
      <c r="F93" s="51">
        <v>20</v>
      </c>
      <c r="G93" s="51"/>
      <c r="H93" s="51"/>
      <c r="I93" s="51"/>
      <c r="J93" s="51"/>
      <c r="K93" s="51"/>
      <c r="L93" s="51"/>
      <c r="M93" s="51">
        <v>3</v>
      </c>
      <c r="N93" s="51">
        <v>6</v>
      </c>
      <c r="O93" s="51"/>
      <c r="P93" s="51">
        <f>SUM(G93:O93)</f>
        <v>9</v>
      </c>
      <c r="Q93" s="9">
        <v>20</v>
      </c>
      <c r="R93" s="9">
        <f t="shared" si="30"/>
        <v>1500</v>
      </c>
      <c r="S93" s="51">
        <f>E93+F93-P93</f>
        <v>11</v>
      </c>
      <c r="T93" s="52">
        <v>75</v>
      </c>
      <c r="U93" s="53">
        <f>S93*T93</f>
        <v>825</v>
      </c>
      <c r="W93" s="51">
        <v>20</v>
      </c>
      <c r="X93" s="39">
        <f>S93+W93</f>
        <v>31</v>
      </c>
      <c r="Y93" s="54">
        <f t="shared" si="58"/>
        <v>0</v>
      </c>
      <c r="Z93" s="54">
        <f t="shared" si="59"/>
        <v>0</v>
      </c>
      <c r="AA93" s="54">
        <f t="shared" si="60"/>
        <v>0</v>
      </c>
      <c r="AB93" s="54">
        <f t="shared" si="65"/>
        <v>0</v>
      </c>
      <c r="AC93" s="54">
        <f t="shared" ref="AC93:AC106" si="67">K93*$T93</f>
        <v>0</v>
      </c>
      <c r="AD93" s="54">
        <f t="shared" si="66"/>
        <v>0</v>
      </c>
      <c r="AE93" s="54">
        <f t="shared" si="61"/>
        <v>225</v>
      </c>
      <c r="AF93" s="54">
        <f t="shared" si="62"/>
        <v>450</v>
      </c>
      <c r="AG93" s="54">
        <f t="shared" si="63"/>
        <v>0</v>
      </c>
      <c r="AH93" s="55">
        <f>$P93*$T93</f>
        <v>675</v>
      </c>
    </row>
    <row r="94" spans="1:35" s="39" customFormat="1" x14ac:dyDescent="0.3">
      <c r="A94" s="49" t="s">
        <v>36</v>
      </c>
      <c r="B94" s="50" t="s">
        <v>331</v>
      </c>
      <c r="C94" s="50" t="s">
        <v>17</v>
      </c>
      <c r="D94" s="50" t="s">
        <v>317</v>
      </c>
      <c r="E94" s="51">
        <v>25</v>
      </c>
      <c r="F94" s="51">
        <v>50</v>
      </c>
      <c r="G94" s="51"/>
      <c r="H94" s="51">
        <v>4</v>
      </c>
      <c r="I94" s="51">
        <v>2</v>
      </c>
      <c r="J94" s="51">
        <v>7</v>
      </c>
      <c r="K94" s="51"/>
      <c r="L94" s="51">
        <v>1</v>
      </c>
      <c r="M94" s="51">
        <v>6</v>
      </c>
      <c r="N94" s="51"/>
      <c r="O94" s="51">
        <v>2</v>
      </c>
      <c r="P94" s="51">
        <f>SUM(G94:O94)</f>
        <v>22</v>
      </c>
      <c r="Q94" s="9">
        <v>250</v>
      </c>
      <c r="R94" s="9">
        <f t="shared" si="30"/>
        <v>625</v>
      </c>
      <c r="S94" s="51">
        <f>E94+F94-P94</f>
        <v>53</v>
      </c>
      <c r="T94" s="52">
        <v>2.5</v>
      </c>
      <c r="U94" s="53">
        <f>S94*T94</f>
        <v>132.5</v>
      </c>
      <c r="W94" s="51">
        <v>31</v>
      </c>
      <c r="X94" s="39">
        <f>S94+W94</f>
        <v>84</v>
      </c>
      <c r="Y94" s="54">
        <f t="shared" si="58"/>
        <v>0</v>
      </c>
      <c r="Z94" s="54">
        <f t="shared" si="59"/>
        <v>10</v>
      </c>
      <c r="AA94" s="54">
        <f t="shared" si="60"/>
        <v>5</v>
      </c>
      <c r="AB94" s="54">
        <f t="shared" si="65"/>
        <v>17.5</v>
      </c>
      <c r="AC94" s="54">
        <f t="shared" si="67"/>
        <v>0</v>
      </c>
      <c r="AD94" s="54">
        <f t="shared" si="66"/>
        <v>2.5</v>
      </c>
      <c r="AE94" s="54">
        <f t="shared" si="61"/>
        <v>15</v>
      </c>
      <c r="AF94" s="54">
        <f t="shared" si="62"/>
        <v>0</v>
      </c>
      <c r="AG94" s="54">
        <f t="shared" si="63"/>
        <v>5</v>
      </c>
      <c r="AH94" s="55">
        <f>$P94*$T94</f>
        <v>55</v>
      </c>
    </row>
    <row r="95" spans="1:35" s="39" customFormat="1" ht="12" customHeight="1" x14ac:dyDescent="0.3">
      <c r="A95" s="49" t="s">
        <v>36</v>
      </c>
      <c r="B95" s="50" t="s">
        <v>87</v>
      </c>
      <c r="C95" s="50" t="s">
        <v>22</v>
      </c>
      <c r="D95" s="50" t="s">
        <v>315</v>
      </c>
      <c r="E95" s="51">
        <v>333</v>
      </c>
      <c r="F95" s="51"/>
      <c r="G95" s="51">
        <v>6</v>
      </c>
      <c r="H95" s="51">
        <v>16</v>
      </c>
      <c r="I95" s="51">
        <v>16</v>
      </c>
      <c r="J95" s="51">
        <v>9</v>
      </c>
      <c r="K95" s="51">
        <v>6</v>
      </c>
      <c r="L95" s="51">
        <v>11</v>
      </c>
      <c r="M95" s="51">
        <v>13</v>
      </c>
      <c r="N95" s="51">
        <v>7</v>
      </c>
      <c r="O95" s="51">
        <v>8</v>
      </c>
      <c r="P95" s="51">
        <f t="shared" si="55"/>
        <v>92</v>
      </c>
      <c r="Q95" s="9">
        <v>300</v>
      </c>
      <c r="R95" s="9">
        <f t="shared" si="30"/>
        <v>3300</v>
      </c>
      <c r="S95" s="51">
        <f t="shared" si="56"/>
        <v>241</v>
      </c>
      <c r="T95" s="52">
        <v>11</v>
      </c>
      <c r="U95" s="53">
        <f t="shared" si="50"/>
        <v>2651</v>
      </c>
      <c r="W95" s="51">
        <v>77</v>
      </c>
      <c r="X95" s="39">
        <f t="shared" si="57"/>
        <v>318</v>
      </c>
      <c r="Y95" s="54">
        <f t="shared" si="58"/>
        <v>66</v>
      </c>
      <c r="Z95" s="54">
        <f t="shared" si="59"/>
        <v>176</v>
      </c>
      <c r="AA95" s="54">
        <f t="shared" si="60"/>
        <v>176</v>
      </c>
      <c r="AB95" s="54">
        <f t="shared" si="65"/>
        <v>99</v>
      </c>
      <c r="AC95" s="54">
        <f t="shared" si="67"/>
        <v>66</v>
      </c>
      <c r="AD95" s="54">
        <f t="shared" si="66"/>
        <v>121</v>
      </c>
      <c r="AE95" s="54">
        <f t="shared" si="61"/>
        <v>143</v>
      </c>
      <c r="AF95" s="54">
        <f t="shared" si="62"/>
        <v>77</v>
      </c>
      <c r="AG95" s="54">
        <f t="shared" si="63"/>
        <v>88</v>
      </c>
      <c r="AH95" s="55">
        <f t="shared" si="64"/>
        <v>1012</v>
      </c>
    </row>
    <row r="96" spans="1:35" s="39" customFormat="1" x14ac:dyDescent="0.3">
      <c r="A96" s="49" t="s">
        <v>36</v>
      </c>
      <c r="B96" s="50" t="s">
        <v>182</v>
      </c>
      <c r="C96" s="50" t="s">
        <v>325</v>
      </c>
      <c r="D96" s="50" t="s">
        <v>2</v>
      </c>
      <c r="E96" s="51">
        <v>6</v>
      </c>
      <c r="F96" s="51"/>
      <c r="G96" s="51"/>
      <c r="H96" s="51"/>
      <c r="I96" s="51">
        <v>2</v>
      </c>
      <c r="J96" s="51"/>
      <c r="K96" s="51"/>
      <c r="L96" s="51"/>
      <c r="M96" s="51"/>
      <c r="N96" s="51"/>
      <c r="O96" s="51"/>
      <c r="P96" s="51">
        <f>SUM(G96:O96)</f>
        <v>2</v>
      </c>
      <c r="Q96" s="9">
        <v>8</v>
      </c>
      <c r="R96" s="9">
        <f t="shared" si="30"/>
        <v>1648</v>
      </c>
      <c r="S96" s="51">
        <f>E96+F96-P96</f>
        <v>4</v>
      </c>
      <c r="T96" s="52">
        <v>206</v>
      </c>
      <c r="U96" s="53">
        <f>S96*T96</f>
        <v>824</v>
      </c>
      <c r="W96" s="51">
        <v>1</v>
      </c>
      <c r="X96" s="39">
        <f>S96+W96</f>
        <v>5</v>
      </c>
      <c r="Y96" s="54">
        <f t="shared" si="58"/>
        <v>0</v>
      </c>
      <c r="Z96" s="54">
        <f t="shared" si="59"/>
        <v>0</v>
      </c>
      <c r="AA96" s="54">
        <f t="shared" si="60"/>
        <v>412</v>
      </c>
      <c r="AB96" s="54">
        <f t="shared" si="65"/>
        <v>0</v>
      </c>
      <c r="AC96" s="54">
        <f t="shared" si="67"/>
        <v>0</v>
      </c>
      <c r="AD96" s="54">
        <f t="shared" si="66"/>
        <v>0</v>
      </c>
      <c r="AE96" s="54">
        <f t="shared" si="61"/>
        <v>0</v>
      </c>
      <c r="AF96" s="54">
        <f t="shared" si="62"/>
        <v>0</v>
      </c>
      <c r="AG96" s="54">
        <f t="shared" si="63"/>
        <v>0</v>
      </c>
      <c r="AH96" s="55">
        <f t="shared" ref="AH96:AH101" si="68">$P96*$T96</f>
        <v>412</v>
      </c>
    </row>
    <row r="97" spans="1:35" s="39" customFormat="1" x14ac:dyDescent="0.3">
      <c r="A97" s="49" t="s">
        <v>36</v>
      </c>
      <c r="B97" s="50" t="s">
        <v>334</v>
      </c>
      <c r="C97" s="50" t="s">
        <v>17</v>
      </c>
      <c r="D97" s="50" t="s">
        <v>319</v>
      </c>
      <c r="E97" s="51">
        <v>10</v>
      </c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>
        <f>SUM(G97:O97)</f>
        <v>0</v>
      </c>
      <c r="Q97" s="9">
        <v>50</v>
      </c>
      <c r="R97" s="9">
        <f t="shared" si="30"/>
        <v>3250</v>
      </c>
      <c r="S97" s="51">
        <f>E97+F97-P97</f>
        <v>10</v>
      </c>
      <c r="T97" s="52">
        <v>65</v>
      </c>
      <c r="U97" s="53">
        <f>S97*T97</f>
        <v>650</v>
      </c>
      <c r="W97" s="51">
        <v>49</v>
      </c>
      <c r="X97" s="39">
        <f>S97+W97</f>
        <v>59</v>
      </c>
      <c r="Y97" s="54">
        <f t="shared" si="58"/>
        <v>0</v>
      </c>
      <c r="Z97" s="54">
        <f t="shared" si="59"/>
        <v>0</v>
      </c>
      <c r="AA97" s="54">
        <f t="shared" si="60"/>
        <v>0</v>
      </c>
      <c r="AB97" s="54">
        <f t="shared" si="65"/>
        <v>0</v>
      </c>
      <c r="AC97" s="54">
        <f t="shared" si="67"/>
        <v>0</v>
      </c>
      <c r="AD97" s="54">
        <f t="shared" si="66"/>
        <v>0</v>
      </c>
      <c r="AE97" s="54">
        <f t="shared" si="61"/>
        <v>0</v>
      </c>
      <c r="AF97" s="54">
        <f t="shared" si="62"/>
        <v>0</v>
      </c>
      <c r="AG97" s="54">
        <f t="shared" si="63"/>
        <v>0</v>
      </c>
      <c r="AH97" s="55">
        <f t="shared" si="68"/>
        <v>0</v>
      </c>
    </row>
    <row r="98" spans="1:35" s="39" customFormat="1" x14ac:dyDescent="0.3">
      <c r="A98" s="49" t="s">
        <v>36</v>
      </c>
      <c r="B98" s="50" t="s">
        <v>336</v>
      </c>
      <c r="C98" s="50" t="s">
        <v>325</v>
      </c>
      <c r="D98" s="50" t="s">
        <v>324</v>
      </c>
      <c r="E98" s="51">
        <v>0</v>
      </c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>
        <f t="shared" si="55"/>
        <v>0</v>
      </c>
      <c r="Q98" s="9">
        <v>3</v>
      </c>
      <c r="R98" s="9">
        <f t="shared" si="30"/>
        <v>570</v>
      </c>
      <c r="S98" s="51">
        <f t="shared" si="56"/>
        <v>0</v>
      </c>
      <c r="T98" s="52">
        <v>190</v>
      </c>
      <c r="U98" s="53">
        <f t="shared" si="50"/>
        <v>0</v>
      </c>
      <c r="W98" s="51"/>
      <c r="Y98" s="54">
        <f t="shared" si="58"/>
        <v>0</v>
      </c>
      <c r="Z98" s="54">
        <f t="shared" si="59"/>
        <v>0</v>
      </c>
      <c r="AA98" s="54">
        <f t="shared" si="60"/>
        <v>0</v>
      </c>
      <c r="AB98" s="54">
        <f t="shared" si="65"/>
        <v>0</v>
      </c>
      <c r="AC98" s="54">
        <f t="shared" si="67"/>
        <v>0</v>
      </c>
      <c r="AD98" s="54">
        <f t="shared" si="66"/>
        <v>0</v>
      </c>
      <c r="AE98" s="54">
        <f t="shared" si="61"/>
        <v>0</v>
      </c>
      <c r="AF98" s="54">
        <f t="shared" si="62"/>
        <v>0</v>
      </c>
      <c r="AG98" s="54">
        <f t="shared" si="63"/>
        <v>0</v>
      </c>
      <c r="AH98" s="55">
        <f t="shared" si="68"/>
        <v>0</v>
      </c>
    </row>
    <row r="99" spans="1:35" s="39" customFormat="1" x14ac:dyDescent="0.3">
      <c r="A99" s="49" t="s">
        <v>36</v>
      </c>
      <c r="B99" s="50" t="s">
        <v>337</v>
      </c>
      <c r="C99" s="50" t="s">
        <v>56</v>
      </c>
      <c r="D99" s="50" t="s">
        <v>368</v>
      </c>
      <c r="E99" s="51">
        <v>0</v>
      </c>
      <c r="F99" s="51">
        <v>36</v>
      </c>
      <c r="G99" s="51"/>
      <c r="H99" s="51"/>
      <c r="I99" s="51"/>
      <c r="J99" s="51"/>
      <c r="K99" s="51"/>
      <c r="L99" s="51"/>
      <c r="M99" s="51">
        <v>1</v>
      </c>
      <c r="N99" s="51"/>
      <c r="O99" s="51">
        <v>1</v>
      </c>
      <c r="P99" s="51">
        <f>SUM(G99:O99)</f>
        <v>2</v>
      </c>
      <c r="Q99" s="9">
        <v>72</v>
      </c>
      <c r="R99" s="9">
        <f t="shared" ref="R99:R106" si="69">Q99*T99</f>
        <v>720</v>
      </c>
      <c r="S99" s="51">
        <f>E99+F99-P99</f>
        <v>34</v>
      </c>
      <c r="T99" s="52">
        <v>10</v>
      </c>
      <c r="U99" s="53">
        <f>S99*T99</f>
        <v>340</v>
      </c>
      <c r="W99" s="51">
        <v>0</v>
      </c>
      <c r="X99" s="39">
        <v>1</v>
      </c>
      <c r="Y99" s="54">
        <f t="shared" si="58"/>
        <v>0</v>
      </c>
      <c r="Z99" s="54">
        <f t="shared" si="59"/>
        <v>0</v>
      </c>
      <c r="AA99" s="54">
        <f t="shared" si="60"/>
        <v>0</v>
      </c>
      <c r="AB99" s="54">
        <f t="shared" si="65"/>
        <v>0</v>
      </c>
      <c r="AC99" s="54">
        <f t="shared" si="67"/>
        <v>0</v>
      </c>
      <c r="AD99" s="54">
        <f t="shared" si="66"/>
        <v>0</v>
      </c>
      <c r="AE99" s="54">
        <f t="shared" si="61"/>
        <v>10</v>
      </c>
      <c r="AF99" s="54">
        <f t="shared" si="62"/>
        <v>0</v>
      </c>
      <c r="AG99" s="54">
        <f t="shared" si="63"/>
        <v>10</v>
      </c>
      <c r="AH99" s="55">
        <f t="shared" si="68"/>
        <v>20</v>
      </c>
    </row>
    <row r="100" spans="1:35" s="39" customFormat="1" x14ac:dyDescent="0.3">
      <c r="A100" s="49" t="s">
        <v>36</v>
      </c>
      <c r="B100" s="50" t="s">
        <v>88</v>
      </c>
      <c r="C100" s="50" t="s">
        <v>56</v>
      </c>
      <c r="D100" s="50" t="s">
        <v>44</v>
      </c>
      <c r="E100" s="51">
        <v>0</v>
      </c>
      <c r="F100" s="51">
        <v>36</v>
      </c>
      <c r="G100" s="51"/>
      <c r="H100" s="51"/>
      <c r="I100" s="51"/>
      <c r="J100" s="51"/>
      <c r="K100" s="51"/>
      <c r="L100" s="51"/>
      <c r="M100" s="51">
        <v>2</v>
      </c>
      <c r="N100" s="51"/>
      <c r="O100" s="51">
        <v>1</v>
      </c>
      <c r="P100" s="51">
        <f>SUM(G100:O100)</f>
        <v>3</v>
      </c>
      <c r="Q100" s="9">
        <v>72</v>
      </c>
      <c r="R100" s="9">
        <f t="shared" si="69"/>
        <v>612</v>
      </c>
      <c r="S100" s="51">
        <f>E100+F100-P100</f>
        <v>33</v>
      </c>
      <c r="T100" s="52">
        <v>8.5</v>
      </c>
      <c r="U100" s="53">
        <f>S100*T100</f>
        <v>280.5</v>
      </c>
      <c r="W100" s="51">
        <v>20</v>
      </c>
      <c r="X100" s="39">
        <f>S100+W100</f>
        <v>53</v>
      </c>
      <c r="Y100" s="54">
        <f t="shared" si="58"/>
        <v>0</v>
      </c>
      <c r="Z100" s="54">
        <f t="shared" si="59"/>
        <v>0</v>
      </c>
      <c r="AA100" s="54">
        <f t="shared" si="60"/>
        <v>0</v>
      </c>
      <c r="AB100" s="54">
        <f t="shared" si="65"/>
        <v>0</v>
      </c>
      <c r="AC100" s="54">
        <f t="shared" si="67"/>
        <v>0</v>
      </c>
      <c r="AD100" s="54">
        <f t="shared" si="66"/>
        <v>0</v>
      </c>
      <c r="AE100" s="54">
        <f t="shared" si="61"/>
        <v>17</v>
      </c>
      <c r="AF100" s="54">
        <f t="shared" si="62"/>
        <v>0</v>
      </c>
      <c r="AG100" s="54">
        <f t="shared" si="63"/>
        <v>8.5</v>
      </c>
      <c r="AH100" s="55">
        <f t="shared" si="68"/>
        <v>25.5</v>
      </c>
    </row>
    <row r="101" spans="1:35" s="39" customFormat="1" x14ac:dyDescent="0.3">
      <c r="A101" s="49" t="s">
        <v>36</v>
      </c>
      <c r="B101" s="50" t="s">
        <v>339</v>
      </c>
      <c r="C101" s="50" t="s">
        <v>17</v>
      </c>
      <c r="D101" s="50" t="s">
        <v>1</v>
      </c>
      <c r="E101" s="51">
        <v>1</v>
      </c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>
        <f>SUM(G101:O101)</f>
        <v>0</v>
      </c>
      <c r="Q101" s="9">
        <v>24</v>
      </c>
      <c r="R101" s="9">
        <f t="shared" si="69"/>
        <v>720</v>
      </c>
      <c r="S101" s="51">
        <f>E101+F101-P101</f>
        <v>1</v>
      </c>
      <c r="T101" s="52">
        <v>30</v>
      </c>
      <c r="U101" s="53">
        <f>S101*T101</f>
        <v>30</v>
      </c>
      <c r="W101" s="51">
        <v>0</v>
      </c>
      <c r="X101" s="39">
        <f>S101+W101</f>
        <v>1</v>
      </c>
      <c r="Y101" s="54">
        <f t="shared" si="58"/>
        <v>0</v>
      </c>
      <c r="Z101" s="54">
        <f t="shared" si="59"/>
        <v>0</v>
      </c>
      <c r="AA101" s="54">
        <f t="shared" si="60"/>
        <v>0</v>
      </c>
      <c r="AB101" s="54">
        <f t="shared" si="65"/>
        <v>0</v>
      </c>
      <c r="AC101" s="54">
        <f t="shared" si="67"/>
        <v>0</v>
      </c>
      <c r="AD101" s="54">
        <f t="shared" si="66"/>
        <v>0</v>
      </c>
      <c r="AE101" s="54">
        <f t="shared" si="61"/>
        <v>0</v>
      </c>
      <c r="AF101" s="54">
        <f t="shared" si="62"/>
        <v>0</v>
      </c>
      <c r="AG101" s="54">
        <f t="shared" si="63"/>
        <v>0</v>
      </c>
      <c r="AH101" s="55">
        <f t="shared" si="68"/>
        <v>0</v>
      </c>
    </row>
    <row r="102" spans="1:35" s="39" customFormat="1" x14ac:dyDescent="0.3">
      <c r="A102" s="49" t="s">
        <v>36</v>
      </c>
      <c r="B102" s="50" t="s">
        <v>340</v>
      </c>
      <c r="C102" s="50" t="s">
        <v>20</v>
      </c>
      <c r="D102" s="50" t="s">
        <v>328</v>
      </c>
      <c r="E102" s="51">
        <v>0</v>
      </c>
      <c r="F102" s="51">
        <v>20</v>
      </c>
      <c r="G102" s="51"/>
      <c r="H102" s="51">
        <v>1</v>
      </c>
      <c r="I102" s="51">
        <v>2</v>
      </c>
      <c r="J102" s="51">
        <v>4</v>
      </c>
      <c r="K102" s="51">
        <v>1</v>
      </c>
      <c r="L102" s="51"/>
      <c r="M102" s="51"/>
      <c r="N102" s="51"/>
      <c r="O102" s="51">
        <v>2</v>
      </c>
      <c r="P102" s="51">
        <f t="shared" si="55"/>
        <v>10</v>
      </c>
      <c r="Q102" s="9">
        <v>10</v>
      </c>
      <c r="R102" s="9">
        <f t="shared" si="69"/>
        <v>950</v>
      </c>
      <c r="S102" s="51">
        <f t="shared" si="56"/>
        <v>10</v>
      </c>
      <c r="T102" s="52">
        <v>95</v>
      </c>
      <c r="U102" s="53">
        <f t="shared" si="50"/>
        <v>950</v>
      </c>
      <c r="W102" s="51">
        <v>0</v>
      </c>
      <c r="X102" s="39">
        <f t="shared" si="57"/>
        <v>10</v>
      </c>
      <c r="Y102" s="54">
        <f t="shared" si="58"/>
        <v>0</v>
      </c>
      <c r="Z102" s="54">
        <f t="shared" si="59"/>
        <v>95</v>
      </c>
      <c r="AA102" s="54">
        <f t="shared" si="60"/>
        <v>190</v>
      </c>
      <c r="AB102" s="54">
        <f t="shared" si="65"/>
        <v>380</v>
      </c>
      <c r="AC102" s="54">
        <f t="shared" si="67"/>
        <v>95</v>
      </c>
      <c r="AD102" s="54">
        <f t="shared" si="66"/>
        <v>0</v>
      </c>
      <c r="AE102" s="54">
        <f t="shared" si="61"/>
        <v>0</v>
      </c>
      <c r="AF102" s="54">
        <f t="shared" si="62"/>
        <v>0</v>
      </c>
      <c r="AG102" s="54">
        <f t="shared" si="63"/>
        <v>190</v>
      </c>
      <c r="AH102" s="55">
        <f t="shared" si="64"/>
        <v>950</v>
      </c>
    </row>
    <row r="103" spans="1:35" s="39" customFormat="1" x14ac:dyDescent="0.3">
      <c r="A103" s="49" t="s">
        <v>36</v>
      </c>
      <c r="B103" s="50" t="s">
        <v>341</v>
      </c>
      <c r="C103" s="50" t="s">
        <v>325</v>
      </c>
      <c r="D103" s="50" t="s">
        <v>329</v>
      </c>
      <c r="E103" s="51">
        <v>12</v>
      </c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>
        <f t="shared" si="55"/>
        <v>0</v>
      </c>
      <c r="Q103" s="9">
        <v>8</v>
      </c>
      <c r="R103" s="9">
        <f t="shared" si="69"/>
        <v>2400</v>
      </c>
      <c r="S103" s="51">
        <f t="shared" si="56"/>
        <v>12</v>
      </c>
      <c r="T103" s="52">
        <v>300</v>
      </c>
      <c r="U103" s="53">
        <f t="shared" si="50"/>
        <v>3600</v>
      </c>
      <c r="W103" s="51"/>
      <c r="X103" s="39">
        <f t="shared" si="57"/>
        <v>12</v>
      </c>
      <c r="Y103" s="54">
        <f t="shared" si="58"/>
        <v>0</v>
      </c>
      <c r="Z103" s="54">
        <f t="shared" si="59"/>
        <v>0</v>
      </c>
      <c r="AA103" s="54">
        <f t="shared" si="60"/>
        <v>0</v>
      </c>
      <c r="AB103" s="54">
        <f t="shared" si="65"/>
        <v>0</v>
      </c>
      <c r="AC103" s="54">
        <f t="shared" si="67"/>
        <v>0</v>
      </c>
      <c r="AD103" s="54">
        <f t="shared" si="66"/>
        <v>0</v>
      </c>
      <c r="AE103" s="54">
        <f t="shared" si="61"/>
        <v>0</v>
      </c>
      <c r="AF103" s="54">
        <f t="shared" si="62"/>
        <v>0</v>
      </c>
      <c r="AG103" s="54">
        <f t="shared" si="63"/>
        <v>0</v>
      </c>
      <c r="AH103" s="55">
        <f t="shared" si="64"/>
        <v>0</v>
      </c>
    </row>
    <row r="104" spans="1:35" s="12" customFormat="1" x14ac:dyDescent="0.3">
      <c r="A104" s="7" t="s">
        <v>36</v>
      </c>
      <c r="B104" s="8" t="s">
        <v>343</v>
      </c>
      <c r="C104" s="8" t="s">
        <v>326</v>
      </c>
      <c r="D104" s="8" t="s">
        <v>322</v>
      </c>
      <c r="E104" s="9">
        <v>1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>
        <f t="shared" si="55"/>
        <v>0</v>
      </c>
      <c r="Q104" s="9">
        <v>2</v>
      </c>
      <c r="R104" s="9">
        <f t="shared" si="69"/>
        <v>580</v>
      </c>
      <c r="S104" s="9">
        <f t="shared" si="56"/>
        <v>1</v>
      </c>
      <c r="T104" s="10">
        <v>290</v>
      </c>
      <c r="U104" s="11">
        <f t="shared" si="50"/>
        <v>290</v>
      </c>
      <c r="W104" s="9">
        <v>1</v>
      </c>
      <c r="X104" s="39">
        <f t="shared" si="57"/>
        <v>2</v>
      </c>
      <c r="Y104" s="45">
        <f t="shared" si="58"/>
        <v>0</v>
      </c>
      <c r="Z104" s="45">
        <f t="shared" si="59"/>
        <v>0</v>
      </c>
      <c r="AA104" s="45">
        <f t="shared" si="60"/>
        <v>0</v>
      </c>
      <c r="AB104" s="45">
        <f t="shared" si="65"/>
        <v>0</v>
      </c>
      <c r="AC104" s="45">
        <f t="shared" si="67"/>
        <v>0</v>
      </c>
      <c r="AD104" s="45">
        <f t="shared" si="66"/>
        <v>0</v>
      </c>
      <c r="AE104" s="45">
        <f t="shared" si="61"/>
        <v>0</v>
      </c>
      <c r="AF104" s="45">
        <f t="shared" si="62"/>
        <v>0</v>
      </c>
      <c r="AG104" s="45">
        <f t="shared" si="63"/>
        <v>0</v>
      </c>
      <c r="AH104" s="37">
        <f t="shared" si="64"/>
        <v>0</v>
      </c>
    </row>
    <row r="105" spans="1:35" s="12" customFormat="1" x14ac:dyDescent="0.3">
      <c r="A105" s="7" t="s">
        <v>36</v>
      </c>
      <c r="B105" s="8" t="s">
        <v>344</v>
      </c>
      <c r="C105" s="8" t="s">
        <v>369</v>
      </c>
      <c r="D105" s="8" t="s">
        <v>358</v>
      </c>
      <c r="E105" s="9">
        <v>8</v>
      </c>
      <c r="F105" s="9">
        <v>15</v>
      </c>
      <c r="G105" s="9"/>
      <c r="H105" s="9"/>
      <c r="I105" s="9">
        <v>1</v>
      </c>
      <c r="J105" s="9">
        <v>2</v>
      </c>
      <c r="K105" s="9">
        <v>1</v>
      </c>
      <c r="L105" s="9">
        <v>1</v>
      </c>
      <c r="M105" s="9">
        <v>2</v>
      </c>
      <c r="N105" s="9">
        <v>1</v>
      </c>
      <c r="O105" s="9"/>
      <c r="P105" s="9">
        <f>SUM(G105:O105)</f>
        <v>8</v>
      </c>
      <c r="Q105" s="9">
        <v>15</v>
      </c>
      <c r="R105" s="9">
        <f t="shared" si="69"/>
        <v>4500</v>
      </c>
      <c r="S105" s="9">
        <f>E105+F105-P105</f>
        <v>15</v>
      </c>
      <c r="T105" s="10">
        <v>300</v>
      </c>
      <c r="U105" s="11">
        <f>S105*T105</f>
        <v>4500</v>
      </c>
      <c r="W105" s="9">
        <v>8</v>
      </c>
      <c r="X105" s="39">
        <f>S105+W105</f>
        <v>23</v>
      </c>
      <c r="Y105" s="45">
        <f t="shared" si="58"/>
        <v>0</v>
      </c>
      <c r="Z105" s="45">
        <f t="shared" si="59"/>
        <v>0</v>
      </c>
      <c r="AA105" s="45">
        <f t="shared" si="60"/>
        <v>300</v>
      </c>
      <c r="AB105" s="45">
        <f t="shared" si="65"/>
        <v>600</v>
      </c>
      <c r="AC105" s="45">
        <f t="shared" si="67"/>
        <v>300</v>
      </c>
      <c r="AD105" s="45">
        <f t="shared" si="66"/>
        <v>300</v>
      </c>
      <c r="AE105" s="45">
        <f t="shared" si="61"/>
        <v>600</v>
      </c>
      <c r="AF105" s="45">
        <f t="shared" si="62"/>
        <v>300</v>
      </c>
      <c r="AG105" s="45">
        <f t="shared" si="63"/>
        <v>0</v>
      </c>
      <c r="AH105" s="37">
        <f>$P105*$T105</f>
        <v>2400</v>
      </c>
    </row>
    <row r="106" spans="1:35" s="12" customFormat="1" x14ac:dyDescent="0.3">
      <c r="A106" s="7" t="s">
        <v>36</v>
      </c>
      <c r="B106" s="8" t="s">
        <v>345</v>
      </c>
      <c r="C106" s="8" t="s">
        <v>17</v>
      </c>
      <c r="D106" s="8" t="s">
        <v>342</v>
      </c>
      <c r="E106" s="9">
        <v>0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>
        <f t="shared" si="55"/>
        <v>0</v>
      </c>
      <c r="Q106" s="9">
        <v>2</v>
      </c>
      <c r="R106" s="9">
        <f t="shared" si="69"/>
        <v>3400</v>
      </c>
      <c r="S106" s="9">
        <f t="shared" si="56"/>
        <v>0</v>
      </c>
      <c r="T106" s="10">
        <v>1700</v>
      </c>
      <c r="U106" s="11">
        <f t="shared" si="50"/>
        <v>0</v>
      </c>
      <c r="W106" s="9">
        <v>0</v>
      </c>
      <c r="X106" s="39">
        <v>1</v>
      </c>
      <c r="Y106" s="45">
        <f t="shared" si="58"/>
        <v>0</v>
      </c>
      <c r="Z106" s="45">
        <f t="shared" si="59"/>
        <v>0</v>
      </c>
      <c r="AA106" s="45">
        <f t="shared" si="60"/>
        <v>0</v>
      </c>
      <c r="AB106" s="45">
        <f t="shared" si="65"/>
        <v>0</v>
      </c>
      <c r="AC106" s="45">
        <f t="shared" si="67"/>
        <v>0</v>
      </c>
      <c r="AD106" s="45">
        <f t="shared" si="66"/>
        <v>0</v>
      </c>
      <c r="AE106" s="45">
        <f t="shared" si="61"/>
        <v>0</v>
      </c>
      <c r="AF106" s="45">
        <f t="shared" si="62"/>
        <v>0</v>
      </c>
      <c r="AG106" s="45">
        <f t="shared" si="63"/>
        <v>0</v>
      </c>
      <c r="AH106" s="37">
        <f t="shared" si="64"/>
        <v>0</v>
      </c>
    </row>
    <row r="107" spans="1:35" s="12" customFormat="1" x14ac:dyDescent="0.3">
      <c r="A107" s="7"/>
      <c r="B107" s="7" t="s">
        <v>23</v>
      </c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13">
        <f>R10+R84</f>
        <v>200000</v>
      </c>
      <c r="S107" s="7"/>
      <c r="T107" s="7"/>
      <c r="U107" s="13">
        <f>SUM(U11:U106)</f>
        <v>111426.5</v>
      </c>
      <c r="X107" s="39"/>
      <c r="Y107" s="46">
        <f t="shared" ref="Y107:AH107" si="70">SUM(Y11:Y106)</f>
        <v>4828</v>
      </c>
      <c r="Z107" s="46">
        <f t="shared" si="70"/>
        <v>3484.5</v>
      </c>
      <c r="AA107" s="46">
        <f t="shared" si="70"/>
        <v>4243</v>
      </c>
      <c r="AB107" s="46">
        <f t="shared" si="70"/>
        <v>2432.5</v>
      </c>
      <c r="AC107" s="46" t="e">
        <f t="shared" si="70"/>
        <v>#REF!</v>
      </c>
      <c r="AD107" s="46">
        <f t="shared" si="70"/>
        <v>2553</v>
      </c>
      <c r="AE107" s="46">
        <f t="shared" si="70"/>
        <v>13596</v>
      </c>
      <c r="AF107" s="46">
        <f t="shared" si="70"/>
        <v>2010.5</v>
      </c>
      <c r="AG107" s="46">
        <f t="shared" si="70"/>
        <v>3412.5</v>
      </c>
      <c r="AH107" s="41">
        <f t="shared" si="70"/>
        <v>39061.5</v>
      </c>
      <c r="AI107" s="13">
        <f>SUM(AI10:AI106)</f>
        <v>96270.5</v>
      </c>
    </row>
    <row r="108" spans="1:35" s="12" customFormat="1" x14ac:dyDescent="0.3">
      <c r="B108" s="14"/>
      <c r="C108" s="14"/>
      <c r="D108" s="14"/>
      <c r="U108" s="15"/>
      <c r="X108" s="39"/>
      <c r="AH108" s="44" t="e">
        <f>SUM(Y107:AG107)</f>
        <v>#REF!</v>
      </c>
    </row>
    <row r="109" spans="1:35" s="12" customFormat="1" x14ac:dyDescent="0.3">
      <c r="B109" s="14"/>
      <c r="C109" s="14"/>
      <c r="D109" s="14"/>
      <c r="U109" s="15"/>
      <c r="X109" s="39"/>
      <c r="AH109" s="36"/>
    </row>
    <row r="110" spans="1:35" s="12" customFormat="1" x14ac:dyDescent="0.3">
      <c r="B110" s="12" t="s">
        <v>24</v>
      </c>
      <c r="C110" s="14"/>
      <c r="D110" s="14"/>
      <c r="E110" s="12" t="s">
        <v>25</v>
      </c>
      <c r="S110" s="12" t="s">
        <v>26</v>
      </c>
      <c r="U110" s="15"/>
      <c r="X110" s="39"/>
      <c r="AH110" s="36"/>
    </row>
    <row r="111" spans="1:35" s="12" customFormat="1" x14ac:dyDescent="0.3">
      <c r="C111" s="14"/>
      <c r="D111" s="14"/>
      <c r="U111" s="15"/>
      <c r="X111" s="39"/>
      <c r="AH111" s="36"/>
    </row>
    <row r="112" spans="1:35" s="12" customFormat="1" x14ac:dyDescent="0.3">
      <c r="B112" s="16" t="s">
        <v>30</v>
      </c>
      <c r="C112" s="14"/>
      <c r="D112" s="14"/>
      <c r="E112" s="16" t="s">
        <v>61</v>
      </c>
      <c r="S112" s="16" t="s">
        <v>28</v>
      </c>
      <c r="U112" s="15"/>
      <c r="X112" s="39"/>
      <c r="AH112" s="36"/>
    </row>
    <row r="113" spans="2:34" s="12" customFormat="1" x14ac:dyDescent="0.3">
      <c r="B113" s="12" t="s">
        <v>29</v>
      </c>
      <c r="C113" s="14"/>
      <c r="D113" s="14"/>
      <c r="E113" s="12" t="s">
        <v>62</v>
      </c>
      <c r="S113" s="12" t="s">
        <v>27</v>
      </c>
      <c r="U113" s="15"/>
      <c r="X113" s="39"/>
      <c r="AH113" s="36"/>
    </row>
    <row r="114" spans="2:34" s="18" customFormat="1" x14ac:dyDescent="0.3">
      <c r="B114" s="17"/>
      <c r="C114" s="17"/>
      <c r="D114" s="17"/>
      <c r="U114" s="19"/>
      <c r="X114" s="40"/>
      <c r="AH114" s="35"/>
    </row>
    <row r="115" spans="2:34" s="18" customFormat="1" x14ac:dyDescent="0.3">
      <c r="B115" s="17"/>
      <c r="C115" s="17"/>
      <c r="D115" s="17"/>
      <c r="U115" s="19"/>
      <c r="X115" s="40"/>
      <c r="AH115" s="35"/>
    </row>
    <row r="116" spans="2:34" s="18" customFormat="1" x14ac:dyDescent="0.3">
      <c r="B116" s="17"/>
      <c r="C116" s="17"/>
      <c r="D116" s="17"/>
      <c r="U116" s="19"/>
      <c r="X116" s="40"/>
      <c r="AH116" s="35"/>
    </row>
    <row r="117" spans="2:34" s="18" customFormat="1" x14ac:dyDescent="0.3">
      <c r="B117" s="17"/>
      <c r="C117" s="17"/>
      <c r="D117" s="17"/>
      <c r="U117" s="19"/>
      <c r="X117" s="40"/>
      <c r="AH117" s="35"/>
    </row>
    <row r="118" spans="2:34" s="18" customFormat="1" x14ac:dyDescent="0.3">
      <c r="B118" s="17"/>
      <c r="C118" s="17"/>
      <c r="D118" s="17"/>
      <c r="U118" s="19"/>
      <c r="X118" s="40"/>
      <c r="AH118" s="35"/>
    </row>
    <row r="119" spans="2:34" s="18" customFormat="1" x14ac:dyDescent="0.3">
      <c r="B119" s="17"/>
      <c r="C119" s="17"/>
      <c r="D119" s="17"/>
      <c r="U119" s="19"/>
      <c r="X119" s="40"/>
      <c r="AH119" s="35"/>
    </row>
    <row r="120" spans="2:34" s="18" customFormat="1" x14ac:dyDescent="0.3">
      <c r="B120" s="17"/>
      <c r="C120" s="17"/>
      <c r="D120" s="17"/>
      <c r="U120" s="19"/>
      <c r="X120" s="40"/>
      <c r="AH120" s="35"/>
    </row>
    <row r="121" spans="2:34" s="18" customFormat="1" x14ac:dyDescent="0.3">
      <c r="B121" s="17"/>
      <c r="C121" s="17"/>
      <c r="D121" s="17"/>
      <c r="U121" s="19"/>
      <c r="X121" s="40"/>
      <c r="AH121" s="35"/>
    </row>
    <row r="122" spans="2:34" s="18" customFormat="1" x14ac:dyDescent="0.3">
      <c r="B122" s="17"/>
      <c r="C122" s="17"/>
      <c r="D122" s="17"/>
      <c r="U122" s="19"/>
      <c r="X122" s="40"/>
      <c r="AH122" s="35"/>
    </row>
    <row r="123" spans="2:34" s="18" customFormat="1" x14ac:dyDescent="0.3">
      <c r="B123" s="17"/>
      <c r="C123" s="17"/>
      <c r="D123" s="17"/>
      <c r="U123" s="19"/>
      <c r="X123" s="40"/>
      <c r="AH123" s="35"/>
    </row>
    <row r="124" spans="2:34" s="18" customFormat="1" x14ac:dyDescent="0.3">
      <c r="B124" s="17"/>
      <c r="C124" s="17"/>
      <c r="D124" s="17"/>
      <c r="U124" s="19"/>
      <c r="X124" s="40"/>
      <c r="AH124" s="35"/>
    </row>
    <row r="125" spans="2:34" s="18" customFormat="1" x14ac:dyDescent="0.3">
      <c r="B125" s="17"/>
      <c r="C125" s="17"/>
      <c r="D125" s="17"/>
      <c r="U125" s="19"/>
      <c r="X125" s="40"/>
      <c r="AH125" s="35"/>
    </row>
    <row r="126" spans="2:34" s="18" customFormat="1" x14ac:dyDescent="0.3">
      <c r="B126" s="17"/>
      <c r="C126" s="17"/>
      <c r="D126" s="17"/>
      <c r="U126" s="19"/>
      <c r="X126" s="40"/>
      <c r="AH126" s="35"/>
    </row>
    <row r="127" spans="2:34" s="18" customFormat="1" x14ac:dyDescent="0.3">
      <c r="B127" s="17"/>
      <c r="C127" s="17"/>
      <c r="D127" s="17"/>
      <c r="U127" s="19"/>
      <c r="X127" s="40"/>
      <c r="AH127" s="35"/>
    </row>
    <row r="128" spans="2:34" s="18" customFormat="1" x14ac:dyDescent="0.3">
      <c r="B128" s="17"/>
      <c r="C128" s="17"/>
      <c r="D128" s="17"/>
      <c r="U128" s="19"/>
      <c r="AH128" s="35"/>
    </row>
    <row r="129" spans="2:34" s="18" customFormat="1" x14ac:dyDescent="0.3">
      <c r="B129" s="17"/>
      <c r="C129" s="17"/>
      <c r="D129" s="17"/>
      <c r="U129" s="19"/>
      <c r="AH129" s="35"/>
    </row>
    <row r="130" spans="2:34" s="18" customFormat="1" x14ac:dyDescent="0.3">
      <c r="B130" s="17"/>
      <c r="C130" s="17"/>
      <c r="D130" s="17"/>
      <c r="U130" s="19"/>
      <c r="AH130" s="35"/>
    </row>
    <row r="131" spans="2:34" s="18" customFormat="1" x14ac:dyDescent="0.3">
      <c r="B131" s="17"/>
      <c r="C131" s="17"/>
      <c r="D131" s="17"/>
      <c r="U131" s="19"/>
      <c r="AH131" s="35"/>
    </row>
    <row r="132" spans="2:34" s="18" customFormat="1" x14ac:dyDescent="0.3">
      <c r="B132" s="17"/>
      <c r="C132" s="17"/>
      <c r="D132" s="17"/>
      <c r="U132" s="19"/>
      <c r="AH132" s="35"/>
    </row>
    <row r="133" spans="2:34" s="18" customFormat="1" x14ac:dyDescent="0.3">
      <c r="B133" s="17"/>
      <c r="C133" s="17"/>
      <c r="D133" s="17"/>
      <c r="U133" s="19"/>
      <c r="AH133" s="35"/>
    </row>
    <row r="134" spans="2:34" s="18" customFormat="1" x14ac:dyDescent="0.3">
      <c r="B134" s="17"/>
      <c r="C134" s="17"/>
      <c r="D134" s="17"/>
      <c r="U134" s="19"/>
      <c r="AH134" s="35"/>
    </row>
    <row r="135" spans="2:34" s="18" customFormat="1" x14ac:dyDescent="0.3">
      <c r="B135" s="17"/>
      <c r="C135" s="17"/>
      <c r="D135" s="17"/>
      <c r="U135" s="19"/>
      <c r="AH135" s="35"/>
    </row>
    <row r="136" spans="2:34" s="18" customFormat="1" x14ac:dyDescent="0.3">
      <c r="B136" s="17"/>
      <c r="C136" s="17"/>
      <c r="D136" s="17"/>
      <c r="U136" s="19"/>
      <c r="AH136" s="35"/>
    </row>
    <row r="137" spans="2:34" s="18" customFormat="1" x14ac:dyDescent="0.3">
      <c r="B137" s="17"/>
      <c r="C137" s="17"/>
      <c r="D137" s="17"/>
      <c r="U137" s="19"/>
      <c r="AH137" s="35"/>
    </row>
    <row r="138" spans="2:34" s="18" customFormat="1" x14ac:dyDescent="0.3">
      <c r="B138" s="17"/>
      <c r="C138" s="17"/>
      <c r="D138" s="17"/>
      <c r="U138" s="19"/>
      <c r="AH138" s="35"/>
    </row>
    <row r="139" spans="2:34" s="18" customFormat="1" x14ac:dyDescent="0.3">
      <c r="B139" s="17"/>
      <c r="C139" s="17"/>
      <c r="D139" s="17"/>
      <c r="U139" s="19"/>
      <c r="AH139" s="35"/>
    </row>
    <row r="140" spans="2:34" s="18" customFormat="1" x14ac:dyDescent="0.3">
      <c r="B140" s="17"/>
      <c r="C140" s="17"/>
      <c r="D140" s="17"/>
      <c r="U140" s="19"/>
      <c r="AH140" s="35"/>
    </row>
    <row r="141" spans="2:34" s="18" customFormat="1" x14ac:dyDescent="0.3">
      <c r="B141" s="17"/>
      <c r="C141" s="17"/>
      <c r="D141" s="17"/>
      <c r="U141" s="19"/>
      <c r="AH141" s="35"/>
    </row>
    <row r="142" spans="2:34" s="18" customFormat="1" x14ac:dyDescent="0.3">
      <c r="B142" s="17"/>
      <c r="C142" s="17"/>
      <c r="D142" s="17"/>
      <c r="U142" s="19"/>
      <c r="AH142" s="35"/>
    </row>
    <row r="143" spans="2:34" s="18" customFormat="1" x14ac:dyDescent="0.3">
      <c r="B143" s="17"/>
      <c r="C143" s="17"/>
      <c r="D143" s="17"/>
      <c r="U143" s="19"/>
      <c r="AH143" s="35"/>
    </row>
    <row r="144" spans="2:34" s="18" customFormat="1" x14ac:dyDescent="0.3">
      <c r="B144" s="17"/>
      <c r="C144" s="17"/>
      <c r="D144" s="17"/>
      <c r="U144" s="19"/>
      <c r="AH144" s="35"/>
    </row>
    <row r="145" spans="2:34" s="18" customFormat="1" x14ac:dyDescent="0.3">
      <c r="B145" s="17"/>
      <c r="C145" s="17"/>
      <c r="D145" s="17"/>
      <c r="U145" s="19"/>
      <c r="AH145" s="35"/>
    </row>
    <row r="146" spans="2:34" s="18" customFormat="1" x14ac:dyDescent="0.3">
      <c r="B146" s="17"/>
      <c r="C146" s="17"/>
      <c r="D146" s="17"/>
      <c r="U146" s="19"/>
      <c r="AH146" s="35"/>
    </row>
    <row r="147" spans="2:34" s="18" customFormat="1" x14ac:dyDescent="0.3">
      <c r="B147" s="17"/>
      <c r="C147" s="17"/>
      <c r="D147" s="17"/>
      <c r="U147" s="19"/>
      <c r="AH147" s="35"/>
    </row>
    <row r="148" spans="2:34" s="18" customFormat="1" x14ac:dyDescent="0.3">
      <c r="B148" s="17"/>
      <c r="C148" s="17"/>
      <c r="D148" s="17"/>
      <c r="U148" s="19"/>
      <c r="AH148" s="35"/>
    </row>
    <row r="149" spans="2:34" s="18" customFormat="1" x14ac:dyDescent="0.3">
      <c r="B149" s="17"/>
      <c r="C149" s="17"/>
      <c r="D149" s="17"/>
      <c r="U149" s="19"/>
      <c r="AH149" s="35"/>
    </row>
    <row r="150" spans="2:34" s="18" customFormat="1" x14ac:dyDescent="0.3">
      <c r="B150" s="17"/>
      <c r="C150" s="17"/>
      <c r="D150" s="17"/>
      <c r="U150" s="19"/>
      <c r="AH150" s="35"/>
    </row>
    <row r="151" spans="2:34" s="18" customFormat="1" x14ac:dyDescent="0.3">
      <c r="B151" s="17"/>
      <c r="C151" s="17"/>
      <c r="D151" s="17"/>
      <c r="U151" s="19"/>
      <c r="AH151" s="35"/>
    </row>
    <row r="152" spans="2:34" s="18" customFormat="1" x14ac:dyDescent="0.3">
      <c r="B152" s="17"/>
      <c r="C152" s="17"/>
      <c r="D152" s="17"/>
      <c r="U152" s="19"/>
      <c r="AH152" s="35"/>
    </row>
    <row r="153" spans="2:34" s="18" customFormat="1" x14ac:dyDescent="0.3">
      <c r="B153" s="17"/>
      <c r="C153" s="17"/>
      <c r="D153" s="17"/>
      <c r="U153" s="19"/>
      <c r="AH153" s="35"/>
    </row>
    <row r="154" spans="2:34" s="18" customFormat="1" x14ac:dyDescent="0.3">
      <c r="B154" s="17"/>
      <c r="C154" s="17"/>
      <c r="D154" s="17"/>
      <c r="U154" s="19"/>
      <c r="AH154" s="35"/>
    </row>
    <row r="155" spans="2:34" s="18" customFormat="1" x14ac:dyDescent="0.3">
      <c r="B155" s="17"/>
      <c r="C155" s="17"/>
      <c r="D155" s="17"/>
      <c r="U155" s="19"/>
      <c r="AH155" s="35"/>
    </row>
    <row r="156" spans="2:34" s="18" customFormat="1" x14ac:dyDescent="0.3">
      <c r="B156" s="17"/>
      <c r="C156" s="17"/>
      <c r="D156" s="17"/>
      <c r="U156" s="19"/>
      <c r="AH156" s="35"/>
    </row>
    <row r="157" spans="2:34" s="18" customFormat="1" x14ac:dyDescent="0.3">
      <c r="B157" s="17"/>
      <c r="C157" s="17"/>
      <c r="D157" s="17"/>
      <c r="U157" s="19"/>
      <c r="AH157" s="35"/>
    </row>
    <row r="158" spans="2:34" s="18" customFormat="1" x14ac:dyDescent="0.3">
      <c r="B158" s="17"/>
      <c r="C158" s="17"/>
      <c r="D158" s="17"/>
      <c r="U158" s="19"/>
      <c r="AH158" s="35"/>
    </row>
    <row r="159" spans="2:34" s="18" customFormat="1" x14ac:dyDescent="0.3">
      <c r="B159" s="17"/>
      <c r="C159" s="17"/>
      <c r="D159" s="17"/>
      <c r="U159" s="19"/>
      <c r="AH159" s="35"/>
    </row>
    <row r="160" spans="2:34" s="18" customFormat="1" x14ac:dyDescent="0.3">
      <c r="B160" s="17"/>
      <c r="C160" s="17"/>
      <c r="D160" s="17"/>
      <c r="U160" s="19"/>
      <c r="AH160" s="35"/>
    </row>
    <row r="161" spans="2:34" s="18" customFormat="1" x14ac:dyDescent="0.3">
      <c r="B161" s="17"/>
      <c r="C161" s="17"/>
      <c r="D161" s="17"/>
      <c r="U161" s="19"/>
      <c r="AH161" s="35"/>
    </row>
    <row r="162" spans="2:34" s="18" customFormat="1" x14ac:dyDescent="0.3">
      <c r="B162" s="17"/>
      <c r="C162" s="17"/>
      <c r="D162" s="17"/>
      <c r="U162" s="19"/>
      <c r="AH162" s="35"/>
    </row>
    <row r="163" spans="2:34" s="18" customFormat="1" x14ac:dyDescent="0.3">
      <c r="B163" s="17"/>
      <c r="C163" s="17"/>
      <c r="D163" s="17"/>
      <c r="U163" s="19"/>
      <c r="AH163" s="35"/>
    </row>
    <row r="164" spans="2:34" s="18" customFormat="1" x14ac:dyDescent="0.3">
      <c r="B164" s="17"/>
      <c r="C164" s="17"/>
      <c r="D164" s="17"/>
      <c r="U164" s="19"/>
      <c r="AH164" s="35"/>
    </row>
    <row r="165" spans="2:34" s="18" customFormat="1" x14ac:dyDescent="0.3">
      <c r="B165" s="17"/>
      <c r="C165" s="17"/>
      <c r="D165" s="17"/>
      <c r="U165" s="19"/>
      <c r="AH165" s="35"/>
    </row>
    <row r="166" spans="2:34" s="18" customFormat="1" x14ac:dyDescent="0.3">
      <c r="B166" s="17"/>
      <c r="C166" s="17"/>
      <c r="D166" s="17"/>
      <c r="U166" s="19"/>
      <c r="AH166" s="35"/>
    </row>
    <row r="167" spans="2:34" s="18" customFormat="1" x14ac:dyDescent="0.3">
      <c r="B167" s="17"/>
      <c r="C167" s="17"/>
      <c r="D167" s="17"/>
      <c r="U167" s="19"/>
      <c r="AH167" s="35"/>
    </row>
    <row r="168" spans="2:34" s="18" customFormat="1" x14ac:dyDescent="0.3">
      <c r="B168" s="17"/>
      <c r="C168" s="17"/>
      <c r="D168" s="17"/>
      <c r="U168" s="19"/>
      <c r="AH168" s="35"/>
    </row>
    <row r="169" spans="2:34" s="18" customFormat="1" x14ac:dyDescent="0.3">
      <c r="B169" s="17"/>
      <c r="C169" s="17"/>
      <c r="D169" s="17"/>
      <c r="U169" s="19"/>
      <c r="AH169" s="35"/>
    </row>
    <row r="170" spans="2:34" s="18" customFormat="1" x14ac:dyDescent="0.3">
      <c r="B170" s="17"/>
      <c r="C170" s="17"/>
      <c r="D170" s="17"/>
      <c r="U170" s="19"/>
      <c r="AH170" s="35"/>
    </row>
    <row r="6501" spans="40:40" x14ac:dyDescent="0.3">
      <c r="AN6501" s="2" t="s">
        <v>11</v>
      </c>
    </row>
  </sheetData>
  <autoFilter ref="A6:U107" xr:uid="{00000000-0009-0000-0000-000002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6">
    <mergeCell ref="T8:T9"/>
    <mergeCell ref="U8:U9"/>
    <mergeCell ref="Y8:AG8"/>
    <mergeCell ref="AH8:AH9"/>
    <mergeCell ref="B8:B9"/>
    <mergeCell ref="C8:C9"/>
    <mergeCell ref="E8:E9"/>
    <mergeCell ref="G8:O8"/>
    <mergeCell ref="P8:P9"/>
    <mergeCell ref="S8:S9"/>
    <mergeCell ref="B7:T7"/>
    <mergeCell ref="B1:T1"/>
    <mergeCell ref="B2:T2"/>
    <mergeCell ref="B3:T3"/>
    <mergeCell ref="B4:T4"/>
    <mergeCell ref="B6:T6"/>
  </mergeCells>
  <pageMargins left="0.7" right="0.49" top="0.75" bottom="0.75" header="0.3" footer="0.3"/>
  <pageSetup paperSize="9" scale="85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897C-1AD7-462D-912C-F2BB1CA34B17}">
  <dimension ref="A1:AL6557"/>
  <sheetViews>
    <sheetView topLeftCell="A147" zoomScale="99" zoomScaleNormal="99" workbookViewId="0">
      <selection activeCell="C5" sqref="C1:C1048576"/>
    </sheetView>
  </sheetViews>
  <sheetFormatPr defaultColWidth="9.1796875" defaultRowHeight="13" x14ac:dyDescent="0.3"/>
  <cols>
    <col min="1" max="1" width="6.81640625" style="2" customWidth="1"/>
    <col min="2" max="2" width="10.453125" style="4" customWidth="1"/>
    <col min="3" max="3" width="5.453125" style="4" customWidth="1"/>
    <col min="4" max="4" width="29.90625" style="4" customWidth="1"/>
    <col min="5" max="5" width="9.08984375" style="2" customWidth="1"/>
    <col min="6" max="6" width="13.90625" style="2" customWidth="1"/>
    <col min="7" max="14" width="4" style="2" hidden="1" customWidth="1"/>
    <col min="15" max="15" width="8.984375E-2" style="2" customWidth="1"/>
    <col min="16" max="16" width="9" style="2" customWidth="1"/>
    <col min="17" max="17" width="9.1796875" style="2" customWidth="1"/>
    <col min="18" max="18" width="8.453125" style="2" customWidth="1"/>
    <col min="19" max="19" width="14.26953125" style="3" customWidth="1"/>
    <col min="20" max="20" width="2.7265625" style="2" customWidth="1"/>
    <col min="21" max="21" width="5.54296875" style="2" customWidth="1"/>
    <col min="22" max="22" width="7.1796875" style="2" customWidth="1"/>
    <col min="23" max="23" width="9" style="2" customWidth="1"/>
    <col min="24" max="31" width="9.54296875" style="2" customWidth="1"/>
    <col min="32" max="32" width="13.26953125" style="35" customWidth="1"/>
    <col min="33" max="33" width="14.81640625" style="2" customWidth="1"/>
    <col min="34" max="37" width="9.1796875" style="2"/>
    <col min="38" max="38" width="9.7265625" style="2" customWidth="1"/>
    <col min="39" max="16384" width="9.1796875" style="2"/>
  </cols>
  <sheetData>
    <row r="1" spans="1:33" ht="14.5" x14ac:dyDescent="0.35">
      <c r="B1" s="106" t="s">
        <v>15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2"/>
      <c r="AB1" s="35"/>
      <c r="AF1" s="2"/>
    </row>
    <row r="2" spans="1:33" ht="14.5" x14ac:dyDescent="0.35">
      <c r="B2" s="106" t="s">
        <v>12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/>
      <c r="T2"/>
      <c r="U2"/>
      <c r="V2"/>
      <c r="W2"/>
      <c r="X2"/>
      <c r="Y2"/>
      <c r="Z2"/>
      <c r="AA2"/>
      <c r="AB2" s="35"/>
      <c r="AF2" s="2"/>
    </row>
    <row r="3" spans="1:33" ht="14.5" x14ac:dyDescent="0.35">
      <c r="B3" s="106" t="s">
        <v>14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/>
      <c r="T3"/>
      <c r="U3"/>
      <c r="V3"/>
      <c r="W3"/>
      <c r="X3"/>
      <c r="Y3"/>
      <c r="Z3"/>
      <c r="AA3"/>
      <c r="AB3" s="35"/>
      <c r="AF3" s="2"/>
    </row>
    <row r="4" spans="1:33" ht="14.5" x14ac:dyDescent="0.35">
      <c r="B4" s="106" t="s">
        <v>13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/>
      <c r="T4"/>
      <c r="U4"/>
      <c r="V4"/>
      <c r="W4"/>
      <c r="X4"/>
      <c r="Y4"/>
      <c r="Z4"/>
      <c r="AA4"/>
      <c r="AB4" s="35"/>
      <c r="AF4" s="2"/>
    </row>
    <row r="5" spans="1:33" ht="14.5" x14ac:dyDescent="0.3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/>
      <c r="T5" t="s">
        <v>10</v>
      </c>
      <c r="U5"/>
      <c r="V5"/>
      <c r="W5"/>
      <c r="X5"/>
      <c r="Y5"/>
      <c r="Z5"/>
      <c r="AA5"/>
      <c r="AB5" s="35"/>
      <c r="AF5" s="2"/>
    </row>
    <row r="6" spans="1:33" x14ac:dyDescent="0.3">
      <c r="B6" s="107" t="s">
        <v>346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2"/>
      <c r="AB6" s="35"/>
      <c r="AF6" s="2"/>
    </row>
    <row r="7" spans="1:33" s="1" customFormat="1" x14ac:dyDescent="0.3">
      <c r="B7" s="105" t="s">
        <v>63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AB7" s="36"/>
    </row>
    <row r="8" spans="1:33" s="1" customFormat="1" ht="53.5" customHeight="1" x14ac:dyDescent="0.3">
      <c r="A8" s="27" t="s">
        <v>35</v>
      </c>
      <c r="B8" s="113" t="s">
        <v>0</v>
      </c>
      <c r="C8" s="115" t="s">
        <v>34</v>
      </c>
      <c r="D8" s="48" t="s">
        <v>113</v>
      </c>
      <c r="E8" s="108" t="s">
        <v>32</v>
      </c>
      <c r="F8" s="27" t="s">
        <v>39</v>
      </c>
      <c r="G8" s="117" t="s">
        <v>59</v>
      </c>
      <c r="H8" s="118"/>
      <c r="I8" s="118"/>
      <c r="J8" s="118"/>
      <c r="K8" s="118"/>
      <c r="L8" s="118"/>
      <c r="M8" s="118"/>
      <c r="N8" s="118"/>
      <c r="O8" s="118"/>
      <c r="P8" s="108" t="s">
        <v>33</v>
      </c>
      <c r="Q8" s="119" t="s">
        <v>38</v>
      </c>
      <c r="R8" s="108" t="s">
        <v>16</v>
      </c>
      <c r="S8" s="108" t="s">
        <v>57</v>
      </c>
      <c r="U8" s="1" t="s">
        <v>31</v>
      </c>
      <c r="V8" s="38" t="s">
        <v>58</v>
      </c>
      <c r="W8" s="110" t="s">
        <v>60</v>
      </c>
      <c r="X8" s="110"/>
      <c r="Y8" s="110"/>
      <c r="Z8" s="110"/>
      <c r="AA8" s="110"/>
      <c r="AB8" s="110"/>
      <c r="AC8" s="110"/>
      <c r="AD8" s="110"/>
      <c r="AE8" s="110"/>
      <c r="AF8" s="111" t="s">
        <v>46</v>
      </c>
    </row>
    <row r="9" spans="1:33" s="1" customFormat="1" x14ac:dyDescent="0.3">
      <c r="A9" s="25"/>
      <c r="B9" s="114"/>
      <c r="C9" s="116"/>
      <c r="D9" s="47"/>
      <c r="E9" s="109"/>
      <c r="F9" s="26"/>
      <c r="G9" s="42">
        <v>1</v>
      </c>
      <c r="H9" s="42">
        <v>2</v>
      </c>
      <c r="I9" s="42">
        <v>3</v>
      </c>
      <c r="J9" s="42">
        <v>4</v>
      </c>
      <c r="K9" s="42">
        <v>5</v>
      </c>
      <c r="L9" s="42">
        <v>6</v>
      </c>
      <c r="M9" s="42">
        <v>7</v>
      </c>
      <c r="N9" s="42">
        <v>8</v>
      </c>
      <c r="O9" s="42">
        <v>9</v>
      </c>
      <c r="P9" s="109"/>
      <c r="Q9" s="120"/>
      <c r="R9" s="109"/>
      <c r="S9" s="109"/>
      <c r="V9" s="39"/>
      <c r="W9" s="42">
        <v>1</v>
      </c>
      <c r="X9" s="42">
        <v>2</v>
      </c>
      <c r="Y9" s="42">
        <v>3</v>
      </c>
      <c r="Z9" s="42">
        <v>4</v>
      </c>
      <c r="AA9" s="42">
        <v>5</v>
      </c>
      <c r="AB9" s="42">
        <v>6</v>
      </c>
      <c r="AC9" s="42">
        <v>7</v>
      </c>
      <c r="AD9" s="42">
        <v>8</v>
      </c>
      <c r="AE9" s="42">
        <v>9</v>
      </c>
      <c r="AF9" s="112"/>
    </row>
    <row r="10" spans="1:33" s="1" customFormat="1" x14ac:dyDescent="0.3">
      <c r="B10" s="20" t="s">
        <v>3</v>
      </c>
      <c r="C10" s="21"/>
      <c r="D10" s="21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2"/>
      <c r="S10" s="24"/>
      <c r="V10" s="39"/>
      <c r="W10" s="43"/>
      <c r="X10" s="43"/>
      <c r="Y10" s="43"/>
      <c r="Z10" s="43"/>
      <c r="AA10" s="43"/>
      <c r="AB10" s="43"/>
      <c r="AC10" s="43"/>
      <c r="AD10" s="43"/>
      <c r="AE10" s="43"/>
      <c r="AF10" s="36"/>
      <c r="AG10" s="32">
        <f>SUM(AF11:AF128)</f>
        <v>36536</v>
      </c>
    </row>
    <row r="11" spans="1:33" s="39" customFormat="1" x14ac:dyDescent="0.3">
      <c r="A11" s="49" t="s">
        <v>36</v>
      </c>
      <c r="B11" s="50" t="s">
        <v>69</v>
      </c>
      <c r="C11" s="50" t="s">
        <v>370</v>
      </c>
      <c r="D11" s="50" t="s">
        <v>115</v>
      </c>
      <c r="E11" s="51">
        <v>49</v>
      </c>
      <c r="F11" s="51"/>
      <c r="G11" s="51"/>
      <c r="H11" s="51"/>
      <c r="I11" s="51">
        <v>1</v>
      </c>
      <c r="J11" s="51">
        <v>1</v>
      </c>
      <c r="K11" s="51">
        <v>1</v>
      </c>
      <c r="L11" s="51">
        <v>1</v>
      </c>
      <c r="M11" s="51"/>
      <c r="N11" s="51"/>
      <c r="O11" s="51">
        <v>2</v>
      </c>
      <c r="P11" s="51">
        <f t="shared" ref="P11:P93" si="0">SUM(G11:O11)</f>
        <v>6</v>
      </c>
      <c r="Q11" s="51">
        <f t="shared" ref="Q11:Q93" si="1">E11+F11-P11</f>
        <v>43</v>
      </c>
      <c r="R11" s="52">
        <v>11</v>
      </c>
      <c r="S11" s="53">
        <f>Q11*R11</f>
        <v>473</v>
      </c>
      <c r="U11" s="39">
        <v>500</v>
      </c>
      <c r="V11" s="39">
        <f>Q11+U11</f>
        <v>543</v>
      </c>
      <c r="W11" s="54">
        <f t="shared" ref="W11:AG34" si="2">G11*$R11</f>
        <v>0</v>
      </c>
      <c r="X11" s="54">
        <f t="shared" si="2"/>
        <v>0</v>
      </c>
      <c r="Y11" s="54">
        <f t="shared" si="2"/>
        <v>11</v>
      </c>
      <c r="Z11" s="54">
        <f t="shared" si="2"/>
        <v>11</v>
      </c>
      <c r="AA11" s="54">
        <f t="shared" si="2"/>
        <v>11</v>
      </c>
      <c r="AB11" s="54">
        <f t="shared" si="2"/>
        <v>11</v>
      </c>
      <c r="AC11" s="54">
        <f t="shared" si="2"/>
        <v>0</v>
      </c>
      <c r="AD11" s="54">
        <f t="shared" si="2"/>
        <v>0</v>
      </c>
      <c r="AE11" s="54">
        <f t="shared" si="2"/>
        <v>22</v>
      </c>
      <c r="AF11" s="55">
        <f>$P11*$R11</f>
        <v>66</v>
      </c>
    </row>
    <row r="12" spans="1:33" s="39" customFormat="1" x14ac:dyDescent="0.3">
      <c r="A12" s="49" t="s">
        <v>36</v>
      </c>
      <c r="B12" s="50" t="s">
        <v>70</v>
      </c>
      <c r="C12" s="50" t="s">
        <v>370</v>
      </c>
      <c r="D12" s="50" t="s">
        <v>151</v>
      </c>
      <c r="E12" s="51">
        <v>0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>
        <f t="shared" si="0"/>
        <v>0</v>
      </c>
      <c r="Q12" s="51">
        <f t="shared" si="1"/>
        <v>0</v>
      </c>
      <c r="R12" s="52">
        <v>11</v>
      </c>
      <c r="S12" s="53">
        <f t="shared" ref="S12:S93" si="3">Q12*R12</f>
        <v>0</v>
      </c>
      <c r="T12" s="56"/>
      <c r="U12" s="39">
        <v>0</v>
      </c>
      <c r="V12" s="39">
        <f t="shared" ref="V12:V93" si="4">Q12+U12</f>
        <v>0</v>
      </c>
      <c r="W12" s="54">
        <f t="shared" si="2"/>
        <v>0</v>
      </c>
      <c r="X12" s="54">
        <f t="shared" si="2"/>
        <v>0</v>
      </c>
      <c r="Y12" s="54">
        <f t="shared" si="2"/>
        <v>0</v>
      </c>
      <c r="Z12" s="54">
        <f t="shared" si="2"/>
        <v>0</v>
      </c>
      <c r="AA12" s="54">
        <f t="shared" si="2"/>
        <v>0</v>
      </c>
      <c r="AB12" s="54">
        <f t="shared" si="2"/>
        <v>0</v>
      </c>
      <c r="AC12" s="54">
        <f t="shared" si="2"/>
        <v>0</v>
      </c>
      <c r="AD12" s="54">
        <f t="shared" si="2"/>
        <v>0</v>
      </c>
      <c r="AE12" s="54">
        <f t="shared" si="2"/>
        <v>0</v>
      </c>
      <c r="AF12" s="55">
        <f t="shared" ref="AF12" si="5">$P12*$R12</f>
        <v>0</v>
      </c>
    </row>
    <row r="13" spans="1:33" s="39" customFormat="1" x14ac:dyDescent="0.3">
      <c r="A13" s="49" t="s">
        <v>36</v>
      </c>
      <c r="B13" s="50" t="s">
        <v>71</v>
      </c>
      <c r="C13" s="50" t="s">
        <v>370</v>
      </c>
      <c r="D13" s="50" t="s">
        <v>116</v>
      </c>
      <c r="E13" s="51">
        <v>0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>
        <f>SUM(G13:O13)</f>
        <v>0</v>
      </c>
      <c r="Q13" s="51">
        <f>E13+F13-P13</f>
        <v>0</v>
      </c>
      <c r="R13" s="52">
        <v>14</v>
      </c>
      <c r="S13" s="53">
        <f>Q13*R13</f>
        <v>0</v>
      </c>
      <c r="V13" s="39">
        <f>Q13+U13</f>
        <v>0</v>
      </c>
      <c r="W13" s="54">
        <f t="shared" si="2"/>
        <v>0</v>
      </c>
      <c r="X13" s="54">
        <f t="shared" si="2"/>
        <v>0</v>
      </c>
      <c r="Y13" s="54">
        <f t="shared" si="2"/>
        <v>0</v>
      </c>
      <c r="Z13" s="54">
        <f t="shared" si="2"/>
        <v>0</v>
      </c>
      <c r="AA13" s="54">
        <f t="shared" si="2"/>
        <v>0</v>
      </c>
      <c r="AB13" s="54">
        <f t="shared" si="2"/>
        <v>0</v>
      </c>
      <c r="AC13" s="54">
        <f t="shared" si="2"/>
        <v>0</v>
      </c>
      <c r="AD13" s="54">
        <f t="shared" si="2"/>
        <v>0</v>
      </c>
      <c r="AE13" s="54">
        <f t="shared" si="2"/>
        <v>0</v>
      </c>
      <c r="AF13" s="54">
        <f t="shared" si="2"/>
        <v>0</v>
      </c>
      <c r="AG13" s="54">
        <f t="shared" si="2"/>
        <v>0</v>
      </c>
    </row>
    <row r="14" spans="1:33" s="39" customFormat="1" x14ac:dyDescent="0.3">
      <c r="A14" s="49" t="s">
        <v>36</v>
      </c>
      <c r="B14" s="50" t="s">
        <v>114</v>
      </c>
      <c r="C14" s="50" t="s">
        <v>370</v>
      </c>
      <c r="D14" s="50" t="s">
        <v>117</v>
      </c>
      <c r="E14" s="51">
        <v>24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>
        <f>SUM(G14:O14)</f>
        <v>0</v>
      </c>
      <c r="Q14" s="51">
        <f>E14+F14-P14</f>
        <v>24</v>
      </c>
      <c r="R14" s="52">
        <v>14</v>
      </c>
      <c r="S14" s="53">
        <f>Q14*R14</f>
        <v>336</v>
      </c>
      <c r="V14" s="39">
        <f>Q14+U14</f>
        <v>24</v>
      </c>
      <c r="W14" s="54">
        <f t="shared" si="2"/>
        <v>0</v>
      </c>
      <c r="X14" s="54">
        <f t="shared" si="2"/>
        <v>0</v>
      </c>
      <c r="Y14" s="54">
        <f t="shared" si="2"/>
        <v>0</v>
      </c>
      <c r="Z14" s="54">
        <f t="shared" si="2"/>
        <v>0</v>
      </c>
      <c r="AA14" s="54">
        <f t="shared" si="2"/>
        <v>0</v>
      </c>
      <c r="AB14" s="54">
        <f t="shared" si="2"/>
        <v>0</v>
      </c>
      <c r="AC14" s="54">
        <f t="shared" si="2"/>
        <v>0</v>
      </c>
      <c r="AD14" s="54">
        <f t="shared" si="2"/>
        <v>0</v>
      </c>
      <c r="AE14" s="54">
        <f t="shared" si="2"/>
        <v>0</v>
      </c>
      <c r="AF14" s="54">
        <f t="shared" si="2"/>
        <v>0</v>
      </c>
      <c r="AG14" s="54">
        <f t="shared" si="2"/>
        <v>336</v>
      </c>
    </row>
    <row r="15" spans="1:33" s="39" customFormat="1" x14ac:dyDescent="0.3">
      <c r="A15" s="49" t="s">
        <v>36</v>
      </c>
      <c r="B15" s="50" t="s">
        <v>149</v>
      </c>
      <c r="C15" s="50" t="s">
        <v>370</v>
      </c>
      <c r="D15" s="50" t="s">
        <v>118</v>
      </c>
      <c r="E15" s="51">
        <v>12</v>
      </c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>
        <f>SUM(G15:O15)</f>
        <v>0</v>
      </c>
      <c r="Q15" s="51">
        <f>E15+F15-P15</f>
        <v>12</v>
      </c>
      <c r="R15" s="52">
        <v>14</v>
      </c>
      <c r="S15" s="53">
        <f>Q15*R15</f>
        <v>168</v>
      </c>
      <c r="V15" s="39">
        <f>Q15+U15</f>
        <v>12</v>
      </c>
      <c r="W15" s="54">
        <f t="shared" si="2"/>
        <v>0</v>
      </c>
      <c r="X15" s="54">
        <f t="shared" si="2"/>
        <v>0</v>
      </c>
      <c r="Y15" s="54">
        <f t="shared" si="2"/>
        <v>0</v>
      </c>
      <c r="Z15" s="54">
        <f t="shared" si="2"/>
        <v>0</v>
      </c>
      <c r="AA15" s="54">
        <f t="shared" si="2"/>
        <v>0</v>
      </c>
      <c r="AB15" s="54">
        <f t="shared" si="2"/>
        <v>0</v>
      </c>
      <c r="AC15" s="54">
        <f t="shared" si="2"/>
        <v>0</v>
      </c>
      <c r="AD15" s="54">
        <f t="shared" si="2"/>
        <v>0</v>
      </c>
      <c r="AE15" s="54">
        <f t="shared" si="2"/>
        <v>0</v>
      </c>
      <c r="AF15" s="54">
        <f t="shared" si="2"/>
        <v>0</v>
      </c>
      <c r="AG15" s="54">
        <f t="shared" si="2"/>
        <v>168</v>
      </c>
    </row>
    <row r="16" spans="1:33" s="39" customFormat="1" x14ac:dyDescent="0.3">
      <c r="A16" s="49" t="s">
        <v>36</v>
      </c>
      <c r="B16" s="50" t="s">
        <v>150</v>
      </c>
      <c r="C16" s="50" t="s">
        <v>370</v>
      </c>
      <c r="D16" s="50" t="s">
        <v>119</v>
      </c>
      <c r="E16" s="51">
        <v>36</v>
      </c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>
        <f>SUM(G16:O16)</f>
        <v>0</v>
      </c>
      <c r="Q16" s="51">
        <f>E16+F16-P16</f>
        <v>36</v>
      </c>
      <c r="R16" s="52">
        <v>14</v>
      </c>
      <c r="S16" s="53">
        <f>Q16*R16</f>
        <v>504</v>
      </c>
      <c r="V16" s="39">
        <f>Q16+U16</f>
        <v>36</v>
      </c>
      <c r="W16" s="54">
        <f t="shared" si="2"/>
        <v>0</v>
      </c>
      <c r="X16" s="54">
        <f t="shared" si="2"/>
        <v>0</v>
      </c>
      <c r="Y16" s="54">
        <f t="shared" si="2"/>
        <v>0</v>
      </c>
      <c r="Z16" s="54">
        <f t="shared" si="2"/>
        <v>0</v>
      </c>
      <c r="AA16" s="54">
        <f t="shared" si="2"/>
        <v>0</v>
      </c>
      <c r="AB16" s="54">
        <f t="shared" si="2"/>
        <v>0</v>
      </c>
      <c r="AC16" s="54">
        <f t="shared" si="2"/>
        <v>0</v>
      </c>
      <c r="AD16" s="54">
        <f t="shared" si="2"/>
        <v>0</v>
      </c>
      <c r="AE16" s="54">
        <f t="shared" si="2"/>
        <v>0</v>
      </c>
      <c r="AF16" s="54">
        <f t="shared" si="2"/>
        <v>0</v>
      </c>
      <c r="AG16" s="54">
        <f t="shared" si="2"/>
        <v>504</v>
      </c>
    </row>
    <row r="17" spans="1:33" s="39" customFormat="1" x14ac:dyDescent="0.3">
      <c r="A17" s="49" t="s">
        <v>36</v>
      </c>
      <c r="B17" s="50" t="s">
        <v>148</v>
      </c>
      <c r="C17" s="50" t="s">
        <v>370</v>
      </c>
      <c r="D17" s="50" t="s">
        <v>120</v>
      </c>
      <c r="E17" s="51">
        <v>70</v>
      </c>
      <c r="F17" s="51"/>
      <c r="G17" s="51">
        <v>3</v>
      </c>
      <c r="H17" s="51">
        <v>2</v>
      </c>
      <c r="I17" s="51">
        <v>3</v>
      </c>
      <c r="J17" s="51">
        <v>1</v>
      </c>
      <c r="K17" s="51"/>
      <c r="L17" s="51"/>
      <c r="M17" s="51"/>
      <c r="N17" s="51"/>
      <c r="O17" s="51"/>
      <c r="P17" s="51">
        <f t="shared" si="0"/>
        <v>9</v>
      </c>
      <c r="Q17" s="51">
        <f t="shared" si="1"/>
        <v>61</v>
      </c>
      <c r="R17" s="52">
        <v>35</v>
      </c>
      <c r="S17" s="53">
        <f t="shared" si="3"/>
        <v>2135</v>
      </c>
      <c r="V17" s="39">
        <f t="shared" si="4"/>
        <v>61</v>
      </c>
      <c r="W17" s="54">
        <f t="shared" si="2"/>
        <v>105</v>
      </c>
      <c r="X17" s="54">
        <f t="shared" si="2"/>
        <v>70</v>
      </c>
      <c r="Y17" s="54">
        <f t="shared" si="2"/>
        <v>105</v>
      </c>
      <c r="Z17" s="54">
        <f t="shared" si="2"/>
        <v>35</v>
      </c>
      <c r="AA17" s="54">
        <f t="shared" si="2"/>
        <v>0</v>
      </c>
      <c r="AB17" s="54">
        <f t="shared" si="2"/>
        <v>0</v>
      </c>
      <c r="AC17" s="54">
        <f t="shared" si="2"/>
        <v>0</v>
      </c>
      <c r="AD17" s="54">
        <f t="shared" si="2"/>
        <v>0</v>
      </c>
      <c r="AE17" s="54">
        <f t="shared" si="2"/>
        <v>0</v>
      </c>
      <c r="AF17" s="54">
        <f t="shared" si="2"/>
        <v>315</v>
      </c>
      <c r="AG17" s="54">
        <f t="shared" si="2"/>
        <v>2135</v>
      </c>
    </row>
    <row r="18" spans="1:33" s="39" customFormat="1" x14ac:dyDescent="0.3">
      <c r="A18" s="49" t="s">
        <v>36</v>
      </c>
      <c r="B18" s="50" t="s">
        <v>152</v>
      </c>
      <c r="C18" s="50" t="s">
        <v>370</v>
      </c>
      <c r="D18" s="50" t="s">
        <v>121</v>
      </c>
      <c r="E18" s="51">
        <v>30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>
        <f t="shared" si="0"/>
        <v>0</v>
      </c>
      <c r="Q18" s="51">
        <f t="shared" si="1"/>
        <v>30</v>
      </c>
      <c r="R18" s="52">
        <v>35</v>
      </c>
      <c r="S18" s="53">
        <f t="shared" si="3"/>
        <v>1050</v>
      </c>
      <c r="V18" s="39">
        <f t="shared" si="4"/>
        <v>30</v>
      </c>
      <c r="W18" s="54">
        <f t="shared" si="2"/>
        <v>0</v>
      </c>
      <c r="X18" s="54">
        <f t="shared" si="2"/>
        <v>0</v>
      </c>
      <c r="Y18" s="54">
        <f t="shared" si="2"/>
        <v>0</v>
      </c>
      <c r="Z18" s="54">
        <f t="shared" si="2"/>
        <v>0</v>
      </c>
      <c r="AA18" s="54">
        <f t="shared" si="2"/>
        <v>0</v>
      </c>
      <c r="AB18" s="54">
        <f t="shared" si="2"/>
        <v>0</v>
      </c>
      <c r="AC18" s="54">
        <f t="shared" si="2"/>
        <v>0</v>
      </c>
      <c r="AD18" s="54">
        <f t="shared" si="2"/>
        <v>0</v>
      </c>
      <c r="AE18" s="54">
        <f t="shared" si="2"/>
        <v>0</v>
      </c>
      <c r="AF18" s="54">
        <f t="shared" si="2"/>
        <v>0</v>
      </c>
      <c r="AG18" s="54">
        <f t="shared" si="2"/>
        <v>1050</v>
      </c>
    </row>
    <row r="19" spans="1:33" s="39" customFormat="1" x14ac:dyDescent="0.3">
      <c r="A19" s="49" t="s">
        <v>36</v>
      </c>
      <c r="B19" s="50" t="s">
        <v>153</v>
      </c>
      <c r="C19" s="50" t="s">
        <v>370</v>
      </c>
      <c r="D19" s="50" t="s">
        <v>122</v>
      </c>
      <c r="E19" s="51">
        <v>15</v>
      </c>
      <c r="F19" s="51"/>
      <c r="G19" s="51"/>
      <c r="H19" s="51">
        <v>1</v>
      </c>
      <c r="I19" s="51"/>
      <c r="J19" s="51"/>
      <c r="K19" s="51"/>
      <c r="L19" s="51"/>
      <c r="M19" s="51"/>
      <c r="N19" s="51"/>
      <c r="O19" s="51"/>
      <c r="P19" s="51">
        <f t="shared" si="0"/>
        <v>1</v>
      </c>
      <c r="Q19" s="51">
        <f t="shared" si="1"/>
        <v>14</v>
      </c>
      <c r="R19" s="52">
        <v>31</v>
      </c>
      <c r="S19" s="53">
        <f t="shared" si="3"/>
        <v>434</v>
      </c>
      <c r="V19" s="39">
        <f t="shared" si="4"/>
        <v>14</v>
      </c>
      <c r="W19" s="54">
        <f t="shared" si="2"/>
        <v>0</v>
      </c>
      <c r="X19" s="54">
        <f t="shared" si="2"/>
        <v>31</v>
      </c>
      <c r="Y19" s="54">
        <f t="shared" si="2"/>
        <v>0</v>
      </c>
      <c r="Z19" s="54">
        <f t="shared" si="2"/>
        <v>0</v>
      </c>
      <c r="AA19" s="54">
        <f t="shared" si="2"/>
        <v>0</v>
      </c>
      <c r="AB19" s="54">
        <f t="shared" si="2"/>
        <v>0</v>
      </c>
      <c r="AC19" s="54">
        <f t="shared" si="2"/>
        <v>0</v>
      </c>
      <c r="AD19" s="54">
        <f t="shared" si="2"/>
        <v>0</v>
      </c>
      <c r="AE19" s="54">
        <f t="shared" si="2"/>
        <v>0</v>
      </c>
      <c r="AF19" s="54">
        <f t="shared" si="2"/>
        <v>31</v>
      </c>
      <c r="AG19" s="54">
        <f t="shared" si="2"/>
        <v>434</v>
      </c>
    </row>
    <row r="20" spans="1:33" s="39" customFormat="1" x14ac:dyDescent="0.3">
      <c r="A20" s="49" t="s">
        <v>36</v>
      </c>
      <c r="B20" s="50" t="s">
        <v>154</v>
      </c>
      <c r="C20" s="50" t="s">
        <v>370</v>
      </c>
      <c r="D20" s="50" t="s">
        <v>123</v>
      </c>
      <c r="E20" s="51">
        <v>19</v>
      </c>
      <c r="F20" s="51"/>
      <c r="G20" s="51"/>
      <c r="H20" s="51"/>
      <c r="I20" s="51"/>
      <c r="J20" s="51"/>
      <c r="K20" s="51"/>
      <c r="L20" s="51"/>
      <c r="M20" s="51"/>
      <c r="N20" s="51">
        <v>1</v>
      </c>
      <c r="O20" s="51"/>
      <c r="P20" s="51">
        <f t="shared" si="0"/>
        <v>1</v>
      </c>
      <c r="Q20" s="51">
        <f t="shared" si="1"/>
        <v>18</v>
      </c>
      <c r="R20" s="52">
        <v>31</v>
      </c>
      <c r="S20" s="53">
        <f t="shared" si="3"/>
        <v>558</v>
      </c>
      <c r="V20" s="39">
        <f t="shared" si="4"/>
        <v>18</v>
      </c>
      <c r="W20" s="54">
        <f t="shared" si="2"/>
        <v>0</v>
      </c>
      <c r="X20" s="54">
        <f t="shared" si="2"/>
        <v>0</v>
      </c>
      <c r="Y20" s="54">
        <f t="shared" si="2"/>
        <v>0</v>
      </c>
      <c r="Z20" s="54">
        <f t="shared" si="2"/>
        <v>0</v>
      </c>
      <c r="AA20" s="54">
        <f t="shared" si="2"/>
        <v>0</v>
      </c>
      <c r="AB20" s="54">
        <f t="shared" si="2"/>
        <v>0</v>
      </c>
      <c r="AC20" s="54">
        <f t="shared" si="2"/>
        <v>0</v>
      </c>
      <c r="AD20" s="54">
        <f t="shared" si="2"/>
        <v>31</v>
      </c>
      <c r="AE20" s="54">
        <f t="shared" si="2"/>
        <v>0</v>
      </c>
      <c r="AF20" s="54">
        <f t="shared" si="2"/>
        <v>31</v>
      </c>
      <c r="AG20" s="54">
        <f t="shared" si="2"/>
        <v>558</v>
      </c>
    </row>
    <row r="21" spans="1:33" s="39" customFormat="1" x14ac:dyDescent="0.3">
      <c r="A21" s="49" t="s">
        <v>36</v>
      </c>
      <c r="B21" s="50" t="s">
        <v>155</v>
      </c>
      <c r="C21" s="50" t="s">
        <v>370</v>
      </c>
      <c r="D21" s="50" t="s">
        <v>124</v>
      </c>
      <c r="E21" s="51">
        <v>19</v>
      </c>
      <c r="F21" s="51"/>
      <c r="G21" s="51"/>
      <c r="H21" s="51"/>
      <c r="I21" s="51">
        <v>1</v>
      </c>
      <c r="J21" s="51"/>
      <c r="K21" s="51"/>
      <c r="L21" s="51">
        <v>4</v>
      </c>
      <c r="M21" s="51"/>
      <c r="N21" s="51"/>
      <c r="O21" s="51"/>
      <c r="P21" s="51">
        <f t="shared" si="0"/>
        <v>5</v>
      </c>
      <c r="Q21" s="51">
        <f t="shared" si="1"/>
        <v>14</v>
      </c>
      <c r="R21" s="52">
        <v>31</v>
      </c>
      <c r="S21" s="53">
        <f t="shared" si="3"/>
        <v>434</v>
      </c>
      <c r="V21" s="39">
        <f t="shared" si="4"/>
        <v>14</v>
      </c>
      <c r="W21" s="54">
        <f t="shared" si="2"/>
        <v>0</v>
      </c>
      <c r="X21" s="54">
        <f t="shared" si="2"/>
        <v>0</v>
      </c>
      <c r="Y21" s="54">
        <f t="shared" si="2"/>
        <v>31</v>
      </c>
      <c r="Z21" s="54">
        <f t="shared" si="2"/>
        <v>0</v>
      </c>
      <c r="AA21" s="54">
        <f t="shared" si="2"/>
        <v>0</v>
      </c>
      <c r="AB21" s="54">
        <f t="shared" si="2"/>
        <v>124</v>
      </c>
      <c r="AC21" s="54">
        <f t="shared" si="2"/>
        <v>0</v>
      </c>
      <c r="AD21" s="54">
        <f t="shared" si="2"/>
        <v>0</v>
      </c>
      <c r="AE21" s="54">
        <f t="shared" si="2"/>
        <v>0</v>
      </c>
      <c r="AF21" s="54">
        <f t="shared" si="2"/>
        <v>155</v>
      </c>
      <c r="AG21" s="54">
        <f t="shared" si="2"/>
        <v>434</v>
      </c>
    </row>
    <row r="22" spans="1:33" s="39" customFormat="1" x14ac:dyDescent="0.3">
      <c r="A22" s="49" t="s">
        <v>36</v>
      </c>
      <c r="B22" s="50" t="s">
        <v>156</v>
      </c>
      <c r="C22" s="50" t="s">
        <v>370</v>
      </c>
      <c r="D22" s="50" t="s">
        <v>125</v>
      </c>
      <c r="E22" s="51">
        <v>10</v>
      </c>
      <c r="F22" s="51"/>
      <c r="G22" s="51">
        <v>1</v>
      </c>
      <c r="H22" s="51">
        <v>2</v>
      </c>
      <c r="I22" s="51">
        <v>5</v>
      </c>
      <c r="J22" s="51"/>
      <c r="K22" s="51"/>
      <c r="L22" s="51"/>
      <c r="M22" s="51"/>
      <c r="N22" s="51"/>
      <c r="O22" s="51"/>
      <c r="P22" s="51">
        <f t="shared" si="0"/>
        <v>8</v>
      </c>
      <c r="Q22" s="51">
        <f t="shared" si="1"/>
        <v>2</v>
      </c>
      <c r="R22" s="52">
        <v>23</v>
      </c>
      <c r="S22" s="53">
        <f t="shared" si="3"/>
        <v>46</v>
      </c>
      <c r="U22" s="39">
        <v>60</v>
      </c>
      <c r="V22" s="39">
        <f t="shared" si="4"/>
        <v>62</v>
      </c>
      <c r="W22" s="54">
        <f t="shared" si="2"/>
        <v>23</v>
      </c>
      <c r="X22" s="54">
        <f t="shared" si="2"/>
        <v>46</v>
      </c>
      <c r="Y22" s="54">
        <f t="shared" si="2"/>
        <v>115</v>
      </c>
      <c r="Z22" s="54">
        <f t="shared" si="2"/>
        <v>0</v>
      </c>
      <c r="AA22" s="54">
        <f t="shared" si="2"/>
        <v>0</v>
      </c>
      <c r="AB22" s="54">
        <f t="shared" si="2"/>
        <v>0</v>
      </c>
      <c r="AC22" s="54">
        <f t="shared" si="2"/>
        <v>0</v>
      </c>
      <c r="AD22" s="54">
        <f t="shared" si="2"/>
        <v>0</v>
      </c>
      <c r="AE22" s="54">
        <f t="shared" si="2"/>
        <v>0</v>
      </c>
      <c r="AF22" s="54">
        <f t="shared" si="2"/>
        <v>184</v>
      </c>
      <c r="AG22" s="54">
        <f t="shared" si="2"/>
        <v>46</v>
      </c>
    </row>
    <row r="23" spans="1:33" s="39" customFormat="1" x14ac:dyDescent="0.3">
      <c r="A23" s="49" t="s">
        <v>36</v>
      </c>
      <c r="B23" s="50" t="s">
        <v>157</v>
      </c>
      <c r="C23" s="50" t="s">
        <v>370</v>
      </c>
      <c r="D23" s="50" t="s">
        <v>126</v>
      </c>
      <c r="E23" s="51">
        <v>9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>
        <f t="shared" si="0"/>
        <v>0</v>
      </c>
      <c r="Q23" s="51">
        <f t="shared" si="1"/>
        <v>9</v>
      </c>
      <c r="R23" s="52">
        <v>23</v>
      </c>
      <c r="S23" s="53">
        <f t="shared" si="3"/>
        <v>207</v>
      </c>
      <c r="U23" s="39">
        <v>60</v>
      </c>
      <c r="V23" s="39">
        <f t="shared" si="4"/>
        <v>69</v>
      </c>
      <c r="W23" s="54">
        <f t="shared" si="2"/>
        <v>0</v>
      </c>
      <c r="X23" s="54">
        <f t="shared" si="2"/>
        <v>0</v>
      </c>
      <c r="Y23" s="54">
        <f t="shared" si="2"/>
        <v>0</v>
      </c>
      <c r="Z23" s="54">
        <f t="shared" si="2"/>
        <v>0</v>
      </c>
      <c r="AA23" s="54">
        <f t="shared" si="2"/>
        <v>0</v>
      </c>
      <c r="AB23" s="54">
        <f t="shared" si="2"/>
        <v>0</v>
      </c>
      <c r="AC23" s="54">
        <f t="shared" si="2"/>
        <v>0</v>
      </c>
      <c r="AD23" s="54">
        <f t="shared" si="2"/>
        <v>0</v>
      </c>
      <c r="AE23" s="54">
        <f t="shared" si="2"/>
        <v>0</v>
      </c>
      <c r="AF23" s="54">
        <f t="shared" si="2"/>
        <v>0</v>
      </c>
      <c r="AG23" s="54">
        <f t="shared" si="2"/>
        <v>207</v>
      </c>
    </row>
    <row r="24" spans="1:33" s="39" customFormat="1" x14ac:dyDescent="0.3">
      <c r="A24" s="49" t="s">
        <v>36</v>
      </c>
      <c r="B24" s="50" t="s">
        <v>158</v>
      </c>
      <c r="C24" s="50" t="s">
        <v>370</v>
      </c>
      <c r="D24" s="50" t="s">
        <v>127</v>
      </c>
      <c r="E24" s="51">
        <v>5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>
        <f t="shared" si="0"/>
        <v>0</v>
      </c>
      <c r="Q24" s="51">
        <f t="shared" si="1"/>
        <v>5</v>
      </c>
      <c r="R24" s="52">
        <v>23</v>
      </c>
      <c r="S24" s="53">
        <f t="shared" si="3"/>
        <v>115</v>
      </c>
      <c r="U24" s="39">
        <v>78</v>
      </c>
      <c r="V24" s="39">
        <f t="shared" si="4"/>
        <v>83</v>
      </c>
      <c r="W24" s="54">
        <f t="shared" si="2"/>
        <v>0</v>
      </c>
      <c r="X24" s="54">
        <f t="shared" si="2"/>
        <v>0</v>
      </c>
      <c r="Y24" s="54">
        <f t="shared" si="2"/>
        <v>0</v>
      </c>
      <c r="Z24" s="54">
        <f t="shared" si="2"/>
        <v>0</v>
      </c>
      <c r="AA24" s="54">
        <f t="shared" si="2"/>
        <v>0</v>
      </c>
      <c r="AB24" s="54">
        <f t="shared" si="2"/>
        <v>0</v>
      </c>
      <c r="AC24" s="54">
        <f t="shared" si="2"/>
        <v>0</v>
      </c>
      <c r="AD24" s="54">
        <f t="shared" si="2"/>
        <v>0</v>
      </c>
      <c r="AE24" s="54">
        <f t="shared" si="2"/>
        <v>0</v>
      </c>
      <c r="AF24" s="54">
        <f t="shared" si="2"/>
        <v>0</v>
      </c>
      <c r="AG24" s="54">
        <f t="shared" si="2"/>
        <v>115</v>
      </c>
    </row>
    <row r="25" spans="1:33" s="39" customFormat="1" x14ac:dyDescent="0.3">
      <c r="A25" s="49" t="s">
        <v>36</v>
      </c>
      <c r="B25" s="50" t="s">
        <v>159</v>
      </c>
      <c r="C25" s="50" t="s">
        <v>370</v>
      </c>
      <c r="D25" s="50" t="s">
        <v>128</v>
      </c>
      <c r="E25" s="51">
        <v>5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>
        <f t="shared" ref="P25" si="6">SUM(G25:O25)</f>
        <v>0</v>
      </c>
      <c r="Q25" s="51">
        <f t="shared" si="1"/>
        <v>5</v>
      </c>
      <c r="R25" s="52">
        <v>23</v>
      </c>
      <c r="S25" s="53">
        <f t="shared" si="3"/>
        <v>115</v>
      </c>
      <c r="U25" s="39">
        <v>10</v>
      </c>
      <c r="V25" s="39">
        <f t="shared" si="4"/>
        <v>15</v>
      </c>
      <c r="W25" s="54">
        <f t="shared" si="2"/>
        <v>0</v>
      </c>
      <c r="X25" s="54">
        <f t="shared" si="2"/>
        <v>0</v>
      </c>
      <c r="Y25" s="54">
        <f t="shared" si="2"/>
        <v>0</v>
      </c>
      <c r="Z25" s="54">
        <f t="shared" si="2"/>
        <v>0</v>
      </c>
      <c r="AA25" s="54">
        <f t="shared" si="2"/>
        <v>0</v>
      </c>
      <c r="AB25" s="54">
        <f t="shared" si="2"/>
        <v>0</v>
      </c>
      <c r="AC25" s="54">
        <f t="shared" si="2"/>
        <v>0</v>
      </c>
      <c r="AD25" s="54">
        <f t="shared" si="2"/>
        <v>0</v>
      </c>
      <c r="AE25" s="54">
        <f t="shared" si="2"/>
        <v>0</v>
      </c>
      <c r="AF25" s="54">
        <f t="shared" si="2"/>
        <v>0</v>
      </c>
      <c r="AG25" s="54">
        <f t="shared" si="2"/>
        <v>115</v>
      </c>
    </row>
    <row r="26" spans="1:33" s="39" customFormat="1" x14ac:dyDescent="0.3">
      <c r="A26" s="49" t="s">
        <v>36</v>
      </c>
      <c r="B26" s="50" t="s">
        <v>160</v>
      </c>
      <c r="C26" s="50" t="s">
        <v>370</v>
      </c>
      <c r="D26" s="50" t="s">
        <v>130</v>
      </c>
      <c r="E26" s="51">
        <v>7</v>
      </c>
      <c r="F26" s="51">
        <v>12</v>
      </c>
      <c r="G26" s="51">
        <v>1</v>
      </c>
      <c r="H26" s="51"/>
      <c r="I26" s="51"/>
      <c r="J26" s="51"/>
      <c r="K26" s="51"/>
      <c r="L26" s="51"/>
      <c r="M26" s="51"/>
      <c r="N26" s="51"/>
      <c r="O26" s="51"/>
      <c r="P26" s="51">
        <f t="shared" ref="P26:P49" si="7">SUM(G26:O26)</f>
        <v>1</v>
      </c>
      <c r="Q26" s="51">
        <f t="shared" si="1"/>
        <v>18</v>
      </c>
      <c r="R26" s="52">
        <v>60</v>
      </c>
      <c r="S26" s="53">
        <f t="shared" si="3"/>
        <v>1080</v>
      </c>
      <c r="U26" s="51">
        <v>12</v>
      </c>
      <c r="V26" s="39">
        <f t="shared" si="4"/>
        <v>30</v>
      </c>
      <c r="W26" s="54">
        <f t="shared" si="2"/>
        <v>60</v>
      </c>
      <c r="X26" s="54">
        <f t="shared" si="2"/>
        <v>0</v>
      </c>
      <c r="Y26" s="54">
        <f t="shared" si="2"/>
        <v>0</v>
      </c>
      <c r="Z26" s="54">
        <f t="shared" si="2"/>
        <v>0</v>
      </c>
      <c r="AA26" s="54">
        <f t="shared" si="2"/>
        <v>0</v>
      </c>
      <c r="AB26" s="54">
        <f t="shared" si="2"/>
        <v>0</v>
      </c>
      <c r="AC26" s="54">
        <f t="shared" si="2"/>
        <v>0</v>
      </c>
      <c r="AD26" s="54">
        <f t="shared" si="2"/>
        <v>0</v>
      </c>
      <c r="AE26" s="54">
        <f t="shared" si="2"/>
        <v>0</v>
      </c>
      <c r="AF26" s="54">
        <f t="shared" si="2"/>
        <v>60</v>
      </c>
      <c r="AG26" s="54">
        <f t="shared" si="2"/>
        <v>1080</v>
      </c>
    </row>
    <row r="27" spans="1:33" s="39" customFormat="1" x14ac:dyDescent="0.3">
      <c r="A27" s="49" t="s">
        <v>36</v>
      </c>
      <c r="B27" s="50" t="s">
        <v>72</v>
      </c>
      <c r="C27" s="50" t="s">
        <v>370</v>
      </c>
      <c r="D27" s="50" t="s">
        <v>129</v>
      </c>
      <c r="E27" s="51">
        <v>11</v>
      </c>
      <c r="F27" s="51">
        <v>12</v>
      </c>
      <c r="G27" s="51"/>
      <c r="H27" s="51"/>
      <c r="I27" s="51">
        <v>20</v>
      </c>
      <c r="J27" s="51"/>
      <c r="K27" s="51"/>
      <c r="L27" s="51"/>
      <c r="M27" s="51"/>
      <c r="N27" s="51"/>
      <c r="O27" s="51"/>
      <c r="P27" s="51">
        <f t="shared" si="7"/>
        <v>20</v>
      </c>
      <c r="Q27" s="51">
        <f t="shared" si="1"/>
        <v>3</v>
      </c>
      <c r="R27" s="52">
        <v>60</v>
      </c>
      <c r="S27" s="53">
        <f t="shared" si="3"/>
        <v>180</v>
      </c>
      <c r="U27" s="51">
        <v>12</v>
      </c>
      <c r="V27" s="39">
        <f t="shared" si="4"/>
        <v>15</v>
      </c>
      <c r="W27" s="54">
        <f t="shared" si="2"/>
        <v>0</v>
      </c>
      <c r="X27" s="54">
        <f t="shared" si="2"/>
        <v>0</v>
      </c>
      <c r="Y27" s="54">
        <f t="shared" si="2"/>
        <v>1200</v>
      </c>
      <c r="Z27" s="54">
        <f t="shared" si="2"/>
        <v>0</v>
      </c>
      <c r="AA27" s="54">
        <f t="shared" si="2"/>
        <v>0</v>
      </c>
      <c r="AB27" s="54">
        <f t="shared" si="2"/>
        <v>0</v>
      </c>
      <c r="AC27" s="54">
        <f t="shared" si="2"/>
        <v>0</v>
      </c>
      <c r="AD27" s="54">
        <f t="shared" si="2"/>
        <v>0</v>
      </c>
      <c r="AE27" s="54">
        <f t="shared" si="2"/>
        <v>0</v>
      </c>
      <c r="AF27" s="54">
        <f t="shared" si="2"/>
        <v>1200</v>
      </c>
      <c r="AG27" s="54">
        <f t="shared" si="2"/>
        <v>180</v>
      </c>
    </row>
    <row r="28" spans="1:33" s="39" customFormat="1" x14ac:dyDescent="0.3">
      <c r="A28" s="49" t="s">
        <v>36</v>
      </c>
      <c r="B28" s="50" t="s">
        <v>161</v>
      </c>
      <c r="C28" s="50" t="s">
        <v>370</v>
      </c>
      <c r="D28" s="50" t="s">
        <v>131</v>
      </c>
      <c r="E28" s="51">
        <v>8</v>
      </c>
      <c r="F28" s="51">
        <v>12</v>
      </c>
      <c r="G28" s="51"/>
      <c r="H28" s="51">
        <v>1</v>
      </c>
      <c r="I28" s="51"/>
      <c r="J28" s="51"/>
      <c r="K28" s="51">
        <v>1</v>
      </c>
      <c r="L28" s="51"/>
      <c r="M28" s="51"/>
      <c r="N28" s="51"/>
      <c r="O28" s="51"/>
      <c r="P28" s="51">
        <f t="shared" si="7"/>
        <v>2</v>
      </c>
      <c r="Q28" s="51">
        <f t="shared" si="1"/>
        <v>18</v>
      </c>
      <c r="R28" s="52">
        <v>20</v>
      </c>
      <c r="S28" s="53">
        <f t="shared" si="3"/>
        <v>360</v>
      </c>
      <c r="U28" s="51"/>
      <c r="V28" s="39">
        <f t="shared" si="4"/>
        <v>18</v>
      </c>
      <c r="W28" s="54">
        <f t="shared" si="2"/>
        <v>0</v>
      </c>
      <c r="X28" s="54">
        <f t="shared" si="2"/>
        <v>20</v>
      </c>
      <c r="Y28" s="54">
        <f t="shared" si="2"/>
        <v>0</v>
      </c>
      <c r="Z28" s="54">
        <f t="shared" si="2"/>
        <v>0</v>
      </c>
      <c r="AA28" s="54">
        <f t="shared" si="2"/>
        <v>20</v>
      </c>
      <c r="AB28" s="54">
        <f t="shared" si="2"/>
        <v>0</v>
      </c>
      <c r="AC28" s="54">
        <f t="shared" si="2"/>
        <v>0</v>
      </c>
      <c r="AD28" s="54">
        <f t="shared" si="2"/>
        <v>0</v>
      </c>
      <c r="AE28" s="54">
        <f t="shared" si="2"/>
        <v>0</v>
      </c>
      <c r="AF28" s="54">
        <f t="shared" si="2"/>
        <v>40</v>
      </c>
      <c r="AG28" s="54">
        <f t="shared" si="2"/>
        <v>360</v>
      </c>
    </row>
    <row r="29" spans="1:33" s="62" customFormat="1" x14ac:dyDescent="0.3">
      <c r="A29" s="57" t="s">
        <v>36</v>
      </c>
      <c r="B29" s="58" t="s">
        <v>162</v>
      </c>
      <c r="C29" s="58" t="s">
        <v>21</v>
      </c>
      <c r="D29" s="58" t="s">
        <v>132</v>
      </c>
      <c r="E29" s="59">
        <v>90</v>
      </c>
      <c r="F29" s="59"/>
      <c r="G29" s="59">
        <v>7</v>
      </c>
      <c r="H29" s="59">
        <v>6</v>
      </c>
      <c r="I29" s="59">
        <v>1</v>
      </c>
      <c r="J29" s="59">
        <v>3</v>
      </c>
      <c r="K29" s="59">
        <v>2</v>
      </c>
      <c r="L29" s="59">
        <v>4</v>
      </c>
      <c r="M29" s="59"/>
      <c r="N29" s="59">
        <v>2</v>
      </c>
      <c r="O29" s="59">
        <v>4</v>
      </c>
      <c r="P29" s="59">
        <f t="shared" si="7"/>
        <v>29</v>
      </c>
      <c r="Q29" s="59">
        <f t="shared" si="1"/>
        <v>61</v>
      </c>
      <c r="R29" s="60">
        <v>215</v>
      </c>
      <c r="S29" s="61">
        <f t="shared" si="3"/>
        <v>13115</v>
      </c>
      <c r="V29" s="62">
        <f t="shared" si="4"/>
        <v>61</v>
      </c>
      <c r="W29" s="63">
        <f t="shared" si="2"/>
        <v>1505</v>
      </c>
      <c r="X29" s="63">
        <f t="shared" si="2"/>
        <v>1290</v>
      </c>
      <c r="Y29" s="63">
        <f t="shared" si="2"/>
        <v>215</v>
      </c>
      <c r="Z29" s="63">
        <f t="shared" si="2"/>
        <v>645</v>
      </c>
      <c r="AA29" s="63">
        <f t="shared" si="2"/>
        <v>430</v>
      </c>
      <c r="AB29" s="63">
        <f t="shared" si="2"/>
        <v>860</v>
      </c>
      <c r="AC29" s="63">
        <f t="shared" si="2"/>
        <v>0</v>
      </c>
      <c r="AD29" s="63">
        <f t="shared" si="2"/>
        <v>430</v>
      </c>
      <c r="AE29" s="63">
        <f t="shared" si="2"/>
        <v>860</v>
      </c>
      <c r="AF29" s="63">
        <f t="shared" si="2"/>
        <v>6235</v>
      </c>
      <c r="AG29" s="63">
        <f t="shared" si="2"/>
        <v>13115</v>
      </c>
    </row>
    <row r="30" spans="1:33" s="62" customFormat="1" x14ac:dyDescent="0.3">
      <c r="A30" s="57" t="s">
        <v>36</v>
      </c>
      <c r="B30" s="58" t="s">
        <v>164</v>
      </c>
      <c r="C30" s="58" t="s">
        <v>21</v>
      </c>
      <c r="D30" s="58" t="s">
        <v>133</v>
      </c>
      <c r="E30" s="59">
        <v>118</v>
      </c>
      <c r="F30" s="59"/>
      <c r="G30" s="59">
        <v>1</v>
      </c>
      <c r="H30" s="59">
        <v>1</v>
      </c>
      <c r="I30" s="59">
        <v>1</v>
      </c>
      <c r="J30" s="59">
        <v>1</v>
      </c>
      <c r="K30" s="59">
        <v>1</v>
      </c>
      <c r="L30" s="59"/>
      <c r="M30" s="59"/>
      <c r="N30" s="59"/>
      <c r="O30" s="59">
        <v>1</v>
      </c>
      <c r="P30" s="59">
        <f t="shared" si="7"/>
        <v>6</v>
      </c>
      <c r="Q30" s="59">
        <f t="shared" si="1"/>
        <v>112</v>
      </c>
      <c r="R30" s="60">
        <v>180</v>
      </c>
      <c r="S30" s="61">
        <f t="shared" si="3"/>
        <v>20160</v>
      </c>
      <c r="V30" s="62">
        <f t="shared" si="4"/>
        <v>112</v>
      </c>
      <c r="W30" s="63">
        <f t="shared" si="2"/>
        <v>180</v>
      </c>
      <c r="X30" s="63">
        <f t="shared" si="2"/>
        <v>180</v>
      </c>
      <c r="Y30" s="63">
        <f t="shared" si="2"/>
        <v>180</v>
      </c>
      <c r="Z30" s="63">
        <f t="shared" si="2"/>
        <v>180</v>
      </c>
      <c r="AA30" s="63">
        <f t="shared" si="2"/>
        <v>180</v>
      </c>
      <c r="AB30" s="63">
        <f t="shared" si="2"/>
        <v>0</v>
      </c>
      <c r="AC30" s="63">
        <f t="shared" si="2"/>
        <v>0</v>
      </c>
      <c r="AD30" s="63">
        <f t="shared" si="2"/>
        <v>0</v>
      </c>
      <c r="AE30" s="63">
        <f t="shared" si="2"/>
        <v>180</v>
      </c>
      <c r="AF30" s="63">
        <f t="shared" si="2"/>
        <v>1080</v>
      </c>
      <c r="AG30" s="63">
        <f t="shared" si="2"/>
        <v>20160</v>
      </c>
    </row>
    <row r="31" spans="1:33" s="62" customFormat="1" x14ac:dyDescent="0.3">
      <c r="A31" s="57" t="s">
        <v>36</v>
      </c>
      <c r="B31" s="58" t="s">
        <v>165</v>
      </c>
      <c r="C31" s="58" t="s">
        <v>21</v>
      </c>
      <c r="D31" s="58" t="s">
        <v>134</v>
      </c>
      <c r="E31" s="59">
        <v>70</v>
      </c>
      <c r="F31" s="59"/>
      <c r="G31" s="59"/>
      <c r="H31" s="59">
        <v>3</v>
      </c>
      <c r="I31" s="59"/>
      <c r="J31" s="59">
        <v>1</v>
      </c>
      <c r="K31" s="59">
        <v>2</v>
      </c>
      <c r="L31" s="59"/>
      <c r="M31" s="59">
        <v>2</v>
      </c>
      <c r="N31" s="59">
        <v>2</v>
      </c>
      <c r="O31" s="59"/>
      <c r="P31" s="59">
        <f t="shared" si="7"/>
        <v>10</v>
      </c>
      <c r="Q31" s="59">
        <f t="shared" si="1"/>
        <v>60</v>
      </c>
      <c r="R31" s="60">
        <v>195</v>
      </c>
      <c r="S31" s="61">
        <f t="shared" si="3"/>
        <v>11700</v>
      </c>
      <c r="U31" s="62">
        <v>100</v>
      </c>
      <c r="V31" s="62">
        <f t="shared" si="4"/>
        <v>160</v>
      </c>
      <c r="W31" s="63">
        <f t="shared" si="2"/>
        <v>0</v>
      </c>
      <c r="X31" s="63">
        <f t="shared" si="2"/>
        <v>585</v>
      </c>
      <c r="Y31" s="63">
        <f t="shared" si="2"/>
        <v>0</v>
      </c>
      <c r="Z31" s="63">
        <f t="shared" si="2"/>
        <v>195</v>
      </c>
      <c r="AA31" s="63">
        <f t="shared" si="2"/>
        <v>390</v>
      </c>
      <c r="AB31" s="63">
        <f t="shared" si="2"/>
        <v>0</v>
      </c>
      <c r="AC31" s="63">
        <f t="shared" si="2"/>
        <v>390</v>
      </c>
      <c r="AD31" s="63">
        <f t="shared" si="2"/>
        <v>390</v>
      </c>
      <c r="AE31" s="63">
        <f t="shared" si="2"/>
        <v>0</v>
      </c>
      <c r="AF31" s="63">
        <f t="shared" si="2"/>
        <v>1950</v>
      </c>
      <c r="AG31" s="63">
        <f t="shared" si="2"/>
        <v>11700</v>
      </c>
    </row>
    <row r="32" spans="1:33" s="62" customFormat="1" x14ac:dyDescent="0.3">
      <c r="A32" s="57" t="s">
        <v>36</v>
      </c>
      <c r="B32" s="58" t="s">
        <v>166</v>
      </c>
      <c r="C32" s="58" t="s">
        <v>142</v>
      </c>
      <c r="D32" s="58" t="s">
        <v>135</v>
      </c>
      <c r="E32" s="59">
        <v>0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>
        <f t="shared" si="7"/>
        <v>0</v>
      </c>
      <c r="Q32" s="59">
        <f t="shared" si="1"/>
        <v>0</v>
      </c>
      <c r="R32" s="60">
        <v>35</v>
      </c>
      <c r="S32" s="61">
        <f t="shared" si="3"/>
        <v>0</v>
      </c>
      <c r="U32" s="59">
        <v>15</v>
      </c>
      <c r="V32" s="62">
        <f t="shared" si="4"/>
        <v>15</v>
      </c>
      <c r="W32" s="63">
        <f t="shared" si="2"/>
        <v>0</v>
      </c>
      <c r="X32" s="63">
        <f t="shared" si="2"/>
        <v>0</v>
      </c>
      <c r="Y32" s="63">
        <f t="shared" si="2"/>
        <v>0</v>
      </c>
      <c r="Z32" s="63">
        <f t="shared" si="2"/>
        <v>0</v>
      </c>
      <c r="AA32" s="63">
        <f t="shared" si="2"/>
        <v>0</v>
      </c>
      <c r="AB32" s="63">
        <f t="shared" si="2"/>
        <v>0</v>
      </c>
      <c r="AC32" s="63">
        <f t="shared" si="2"/>
        <v>0</v>
      </c>
      <c r="AD32" s="63">
        <f t="shared" si="2"/>
        <v>0</v>
      </c>
      <c r="AE32" s="63">
        <f t="shared" si="2"/>
        <v>0</v>
      </c>
      <c r="AF32" s="63">
        <f t="shared" si="2"/>
        <v>0</v>
      </c>
      <c r="AG32" s="63">
        <f t="shared" si="2"/>
        <v>0</v>
      </c>
    </row>
    <row r="33" spans="1:33" s="62" customFormat="1" x14ac:dyDescent="0.3">
      <c r="A33" s="57" t="s">
        <v>36</v>
      </c>
      <c r="B33" s="58" t="s">
        <v>163</v>
      </c>
      <c r="C33" s="58" t="s">
        <v>142</v>
      </c>
      <c r="D33" s="58" t="s">
        <v>136</v>
      </c>
      <c r="E33" s="59">
        <v>5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>
        <f t="shared" si="7"/>
        <v>0</v>
      </c>
      <c r="Q33" s="59">
        <f t="shared" si="1"/>
        <v>5</v>
      </c>
      <c r="R33" s="60">
        <v>30</v>
      </c>
      <c r="S33" s="61">
        <f t="shared" si="3"/>
        <v>150</v>
      </c>
      <c r="U33" s="59">
        <v>15</v>
      </c>
      <c r="V33" s="62">
        <f t="shared" si="4"/>
        <v>20</v>
      </c>
      <c r="W33" s="63">
        <f t="shared" si="2"/>
        <v>0</v>
      </c>
      <c r="X33" s="63">
        <f t="shared" si="2"/>
        <v>0</v>
      </c>
      <c r="Y33" s="63">
        <f t="shared" si="2"/>
        <v>0</v>
      </c>
      <c r="Z33" s="63">
        <f t="shared" si="2"/>
        <v>0</v>
      </c>
      <c r="AA33" s="63">
        <f t="shared" si="2"/>
        <v>0</v>
      </c>
      <c r="AB33" s="63">
        <f t="shared" si="2"/>
        <v>0</v>
      </c>
      <c r="AC33" s="63">
        <f t="shared" si="2"/>
        <v>0</v>
      </c>
      <c r="AD33" s="63">
        <f t="shared" si="2"/>
        <v>0</v>
      </c>
      <c r="AE33" s="63">
        <f t="shared" si="2"/>
        <v>0</v>
      </c>
      <c r="AF33" s="63">
        <f t="shared" si="2"/>
        <v>0</v>
      </c>
      <c r="AG33" s="63">
        <f t="shared" si="2"/>
        <v>150</v>
      </c>
    </row>
    <row r="34" spans="1:33" s="62" customFormat="1" x14ac:dyDescent="0.3">
      <c r="A34" s="57" t="s">
        <v>36</v>
      </c>
      <c r="B34" s="58" t="s">
        <v>167</v>
      </c>
      <c r="C34" s="58" t="s">
        <v>142</v>
      </c>
      <c r="D34" s="58" t="s">
        <v>137</v>
      </c>
      <c r="E34" s="59">
        <v>0</v>
      </c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>
        <f t="shared" si="7"/>
        <v>0</v>
      </c>
      <c r="Q34" s="59">
        <f t="shared" si="1"/>
        <v>0</v>
      </c>
      <c r="R34" s="60">
        <v>45</v>
      </c>
      <c r="S34" s="61">
        <f t="shared" si="3"/>
        <v>0</v>
      </c>
      <c r="U34" s="59"/>
      <c r="V34" s="62">
        <f t="shared" si="4"/>
        <v>0</v>
      </c>
      <c r="W34" s="63">
        <f t="shared" si="2"/>
        <v>0</v>
      </c>
      <c r="X34" s="63">
        <f t="shared" si="2"/>
        <v>0</v>
      </c>
      <c r="Y34" s="63">
        <f t="shared" si="2"/>
        <v>0</v>
      </c>
      <c r="Z34" s="63">
        <f t="shared" si="2"/>
        <v>0</v>
      </c>
      <c r="AA34" s="63">
        <f t="shared" si="2"/>
        <v>0</v>
      </c>
      <c r="AB34" s="63">
        <f t="shared" si="2"/>
        <v>0</v>
      </c>
      <c r="AC34" s="63">
        <f t="shared" ref="AC34:AG57" si="8">M34*$R34</f>
        <v>0</v>
      </c>
      <c r="AD34" s="63">
        <f t="shared" si="8"/>
        <v>0</v>
      </c>
      <c r="AE34" s="63">
        <f t="shared" si="8"/>
        <v>0</v>
      </c>
      <c r="AF34" s="63">
        <f t="shared" si="8"/>
        <v>0</v>
      </c>
      <c r="AG34" s="63">
        <f t="shared" si="8"/>
        <v>0</v>
      </c>
    </row>
    <row r="35" spans="1:33" s="62" customFormat="1" x14ac:dyDescent="0.3">
      <c r="A35" s="57" t="s">
        <v>36</v>
      </c>
      <c r="B35" s="58" t="s">
        <v>168</v>
      </c>
      <c r="C35" s="58" t="s">
        <v>142</v>
      </c>
      <c r="D35" s="58" t="s">
        <v>138</v>
      </c>
      <c r="E35" s="59">
        <v>0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>
        <f t="shared" si="7"/>
        <v>0</v>
      </c>
      <c r="Q35" s="59">
        <f t="shared" si="1"/>
        <v>0</v>
      </c>
      <c r="R35" s="60">
        <v>40</v>
      </c>
      <c r="S35" s="61">
        <f t="shared" si="3"/>
        <v>0</v>
      </c>
      <c r="U35" s="59"/>
      <c r="V35" s="62">
        <f t="shared" si="4"/>
        <v>0</v>
      </c>
      <c r="W35" s="63">
        <f t="shared" ref="W35:AG58" si="9">G35*$R35</f>
        <v>0</v>
      </c>
      <c r="X35" s="63">
        <f t="shared" si="9"/>
        <v>0</v>
      </c>
      <c r="Y35" s="63">
        <f t="shared" si="9"/>
        <v>0</v>
      </c>
      <c r="Z35" s="63">
        <f t="shared" si="9"/>
        <v>0</v>
      </c>
      <c r="AA35" s="63">
        <f t="shared" si="9"/>
        <v>0</v>
      </c>
      <c r="AB35" s="63">
        <f t="shared" si="9"/>
        <v>0</v>
      </c>
      <c r="AC35" s="63">
        <f t="shared" si="8"/>
        <v>0</v>
      </c>
      <c r="AD35" s="63">
        <f t="shared" si="8"/>
        <v>0</v>
      </c>
      <c r="AE35" s="63">
        <f t="shared" si="8"/>
        <v>0</v>
      </c>
      <c r="AF35" s="63">
        <f t="shared" si="8"/>
        <v>0</v>
      </c>
      <c r="AG35" s="63">
        <f t="shared" si="8"/>
        <v>0</v>
      </c>
    </row>
    <row r="36" spans="1:33" s="62" customFormat="1" x14ac:dyDescent="0.3">
      <c r="A36" s="57" t="s">
        <v>36</v>
      </c>
      <c r="B36" s="58" t="s">
        <v>169</v>
      </c>
      <c r="C36" s="58" t="s">
        <v>142</v>
      </c>
      <c r="D36" s="58" t="s">
        <v>139</v>
      </c>
      <c r="E36" s="59">
        <v>0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>
        <f t="shared" si="7"/>
        <v>0</v>
      </c>
      <c r="Q36" s="59">
        <f t="shared" si="1"/>
        <v>0</v>
      </c>
      <c r="R36" s="60">
        <v>30</v>
      </c>
      <c r="S36" s="61">
        <f t="shared" si="3"/>
        <v>0</v>
      </c>
      <c r="V36" s="62">
        <f t="shared" si="4"/>
        <v>0</v>
      </c>
      <c r="W36" s="63">
        <f t="shared" si="9"/>
        <v>0</v>
      </c>
      <c r="X36" s="63">
        <f t="shared" si="9"/>
        <v>0</v>
      </c>
      <c r="Y36" s="63">
        <f t="shared" si="9"/>
        <v>0</v>
      </c>
      <c r="Z36" s="63">
        <f t="shared" si="9"/>
        <v>0</v>
      </c>
      <c r="AA36" s="63">
        <f t="shared" si="9"/>
        <v>0</v>
      </c>
      <c r="AB36" s="63">
        <f t="shared" si="9"/>
        <v>0</v>
      </c>
      <c r="AC36" s="63">
        <f t="shared" si="8"/>
        <v>0</v>
      </c>
      <c r="AD36" s="63">
        <f t="shared" si="8"/>
        <v>0</v>
      </c>
      <c r="AE36" s="63">
        <f t="shared" si="8"/>
        <v>0</v>
      </c>
      <c r="AF36" s="63">
        <f t="shared" si="8"/>
        <v>0</v>
      </c>
      <c r="AG36" s="63">
        <f t="shared" si="8"/>
        <v>0</v>
      </c>
    </row>
    <row r="37" spans="1:33" s="62" customFormat="1" x14ac:dyDescent="0.3">
      <c r="A37" s="57" t="s">
        <v>36</v>
      </c>
      <c r="B37" s="58" t="s">
        <v>170</v>
      </c>
      <c r="C37" s="58" t="s">
        <v>142</v>
      </c>
      <c r="D37" s="58" t="s">
        <v>140</v>
      </c>
      <c r="E37" s="59">
        <v>26</v>
      </c>
      <c r="F37" s="59"/>
      <c r="G37" s="59"/>
      <c r="H37" s="59"/>
      <c r="I37" s="59">
        <v>26</v>
      </c>
      <c r="J37" s="59"/>
      <c r="K37" s="59"/>
      <c r="L37" s="59"/>
      <c r="M37" s="59"/>
      <c r="N37" s="59"/>
      <c r="O37" s="59"/>
      <c r="P37" s="59">
        <f t="shared" si="7"/>
        <v>26</v>
      </c>
      <c r="Q37" s="59">
        <f t="shared" si="1"/>
        <v>0</v>
      </c>
      <c r="R37" s="60">
        <v>25</v>
      </c>
      <c r="S37" s="61">
        <f t="shared" si="3"/>
        <v>0</v>
      </c>
      <c r="V37" s="62">
        <f t="shared" si="4"/>
        <v>0</v>
      </c>
      <c r="W37" s="63">
        <f t="shared" si="9"/>
        <v>0</v>
      </c>
      <c r="X37" s="63">
        <f t="shared" si="9"/>
        <v>0</v>
      </c>
      <c r="Y37" s="63">
        <f t="shared" si="9"/>
        <v>650</v>
      </c>
      <c r="Z37" s="63">
        <f t="shared" si="9"/>
        <v>0</v>
      </c>
      <c r="AA37" s="63">
        <f t="shared" si="9"/>
        <v>0</v>
      </c>
      <c r="AB37" s="63">
        <f t="shared" si="9"/>
        <v>0</v>
      </c>
      <c r="AC37" s="63">
        <f t="shared" si="8"/>
        <v>0</v>
      </c>
      <c r="AD37" s="63">
        <f t="shared" si="8"/>
        <v>0</v>
      </c>
      <c r="AE37" s="63">
        <f t="shared" si="8"/>
        <v>0</v>
      </c>
      <c r="AF37" s="63">
        <f t="shared" si="8"/>
        <v>650</v>
      </c>
      <c r="AG37" s="63">
        <f t="shared" si="8"/>
        <v>0</v>
      </c>
    </row>
    <row r="38" spans="1:33" s="62" customFormat="1" x14ac:dyDescent="0.3">
      <c r="A38" s="57" t="s">
        <v>36</v>
      </c>
      <c r="B38" s="58" t="s">
        <v>171</v>
      </c>
      <c r="C38" s="58" t="s">
        <v>142</v>
      </c>
      <c r="D38" s="58" t="s">
        <v>141</v>
      </c>
      <c r="E38" s="59">
        <v>0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>
        <f t="shared" si="7"/>
        <v>0</v>
      </c>
      <c r="Q38" s="59">
        <f t="shared" si="1"/>
        <v>0</v>
      </c>
      <c r="R38" s="60">
        <v>40</v>
      </c>
      <c r="S38" s="61">
        <f t="shared" si="3"/>
        <v>0</v>
      </c>
      <c r="V38" s="62">
        <f t="shared" si="4"/>
        <v>0</v>
      </c>
      <c r="W38" s="63">
        <f t="shared" si="9"/>
        <v>0</v>
      </c>
      <c r="X38" s="63">
        <f t="shared" si="9"/>
        <v>0</v>
      </c>
      <c r="Y38" s="63">
        <f t="shared" si="9"/>
        <v>0</v>
      </c>
      <c r="Z38" s="63">
        <f t="shared" si="9"/>
        <v>0</v>
      </c>
      <c r="AA38" s="63">
        <f t="shared" si="9"/>
        <v>0</v>
      </c>
      <c r="AB38" s="63">
        <f t="shared" si="9"/>
        <v>0</v>
      </c>
      <c r="AC38" s="63">
        <f t="shared" si="8"/>
        <v>0</v>
      </c>
      <c r="AD38" s="63">
        <f t="shared" si="8"/>
        <v>0</v>
      </c>
      <c r="AE38" s="63">
        <f t="shared" si="8"/>
        <v>0</v>
      </c>
      <c r="AF38" s="63">
        <f t="shared" si="8"/>
        <v>0</v>
      </c>
      <c r="AG38" s="63">
        <f t="shared" si="8"/>
        <v>0</v>
      </c>
    </row>
    <row r="39" spans="1:33" s="62" customFormat="1" x14ac:dyDescent="0.3">
      <c r="A39" s="57" t="s">
        <v>36</v>
      </c>
      <c r="B39" s="58" t="s">
        <v>172</v>
      </c>
      <c r="C39" s="58" t="s">
        <v>142</v>
      </c>
      <c r="D39" s="58" t="s">
        <v>362</v>
      </c>
      <c r="E39" s="59">
        <v>0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>
        <f t="shared" si="7"/>
        <v>0</v>
      </c>
      <c r="Q39" s="59">
        <f t="shared" si="1"/>
        <v>0</v>
      </c>
      <c r="R39" s="60">
        <v>35</v>
      </c>
      <c r="S39" s="61">
        <f t="shared" si="3"/>
        <v>0</v>
      </c>
      <c r="V39" s="62">
        <f t="shared" si="4"/>
        <v>0</v>
      </c>
      <c r="W39" s="63">
        <f t="shared" si="9"/>
        <v>0</v>
      </c>
      <c r="X39" s="63">
        <f t="shared" si="9"/>
        <v>0</v>
      </c>
      <c r="Y39" s="63">
        <f t="shared" si="9"/>
        <v>0</v>
      </c>
      <c r="Z39" s="63">
        <f t="shared" si="9"/>
        <v>0</v>
      </c>
      <c r="AA39" s="63">
        <f t="shared" si="9"/>
        <v>0</v>
      </c>
      <c r="AB39" s="63">
        <f t="shared" si="9"/>
        <v>0</v>
      </c>
      <c r="AC39" s="63">
        <f t="shared" si="8"/>
        <v>0</v>
      </c>
      <c r="AD39" s="63">
        <f t="shared" si="8"/>
        <v>0</v>
      </c>
      <c r="AE39" s="63">
        <f t="shared" si="8"/>
        <v>0</v>
      </c>
      <c r="AF39" s="63">
        <f t="shared" si="8"/>
        <v>0</v>
      </c>
      <c r="AG39" s="63">
        <f t="shared" si="8"/>
        <v>0</v>
      </c>
    </row>
    <row r="40" spans="1:33" s="62" customFormat="1" x14ac:dyDescent="0.3">
      <c r="A40" s="57" t="s">
        <v>36</v>
      </c>
      <c r="B40" s="58" t="s">
        <v>351</v>
      </c>
      <c r="C40" s="58" t="s">
        <v>142</v>
      </c>
      <c r="D40" s="58" t="s">
        <v>352</v>
      </c>
      <c r="E40" s="59">
        <v>0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>
        <f t="shared" si="7"/>
        <v>0</v>
      </c>
      <c r="Q40" s="59">
        <f t="shared" si="1"/>
        <v>0</v>
      </c>
      <c r="R40" s="60">
        <v>50</v>
      </c>
      <c r="S40" s="61">
        <f t="shared" si="3"/>
        <v>0</v>
      </c>
      <c r="U40" s="62">
        <v>5</v>
      </c>
      <c r="V40" s="62">
        <f t="shared" si="4"/>
        <v>5</v>
      </c>
      <c r="W40" s="63">
        <f t="shared" si="9"/>
        <v>0</v>
      </c>
      <c r="X40" s="63">
        <f t="shared" si="9"/>
        <v>0</v>
      </c>
      <c r="Y40" s="63">
        <f t="shared" si="9"/>
        <v>0</v>
      </c>
      <c r="Z40" s="63">
        <f t="shared" si="9"/>
        <v>0</v>
      </c>
      <c r="AA40" s="63">
        <f t="shared" si="9"/>
        <v>0</v>
      </c>
      <c r="AB40" s="63">
        <f t="shared" si="9"/>
        <v>0</v>
      </c>
      <c r="AC40" s="63">
        <f t="shared" si="8"/>
        <v>0</v>
      </c>
      <c r="AD40" s="63">
        <f t="shared" si="8"/>
        <v>0</v>
      </c>
      <c r="AE40" s="63">
        <f t="shared" si="8"/>
        <v>0</v>
      </c>
      <c r="AF40" s="63">
        <f t="shared" si="8"/>
        <v>0</v>
      </c>
      <c r="AG40" s="63">
        <f t="shared" si="8"/>
        <v>0</v>
      </c>
    </row>
    <row r="41" spans="1:33" s="62" customFormat="1" x14ac:dyDescent="0.3">
      <c r="A41" s="57" t="s">
        <v>36</v>
      </c>
      <c r="B41" s="58" t="s">
        <v>173</v>
      </c>
      <c r="C41" s="58" t="s">
        <v>143</v>
      </c>
      <c r="D41" s="58" t="s">
        <v>66</v>
      </c>
      <c r="E41" s="59">
        <v>0</v>
      </c>
      <c r="F41" s="59">
        <v>5</v>
      </c>
      <c r="G41" s="59"/>
      <c r="H41" s="59"/>
      <c r="I41" s="59"/>
      <c r="J41" s="59"/>
      <c r="K41" s="59"/>
      <c r="L41" s="59"/>
      <c r="M41" s="59"/>
      <c r="N41" s="59"/>
      <c r="O41" s="59"/>
      <c r="P41" s="59">
        <f t="shared" si="7"/>
        <v>0</v>
      </c>
      <c r="Q41" s="59">
        <f t="shared" si="1"/>
        <v>5</v>
      </c>
      <c r="R41" s="60">
        <v>40</v>
      </c>
      <c r="S41" s="61">
        <f t="shared" si="3"/>
        <v>200</v>
      </c>
      <c r="U41" s="62">
        <v>0</v>
      </c>
      <c r="V41" s="62">
        <f t="shared" si="4"/>
        <v>5</v>
      </c>
      <c r="W41" s="63">
        <f t="shared" si="9"/>
        <v>0</v>
      </c>
      <c r="X41" s="63">
        <f t="shared" si="9"/>
        <v>0</v>
      </c>
      <c r="Y41" s="63">
        <f t="shared" si="9"/>
        <v>0</v>
      </c>
      <c r="Z41" s="63">
        <f t="shared" si="9"/>
        <v>0</v>
      </c>
      <c r="AA41" s="63">
        <f t="shared" si="9"/>
        <v>0</v>
      </c>
      <c r="AB41" s="63">
        <f t="shared" si="9"/>
        <v>0</v>
      </c>
      <c r="AC41" s="63">
        <f t="shared" si="8"/>
        <v>0</v>
      </c>
      <c r="AD41" s="63">
        <f t="shared" si="8"/>
        <v>0</v>
      </c>
      <c r="AE41" s="63">
        <f t="shared" si="8"/>
        <v>0</v>
      </c>
      <c r="AF41" s="63">
        <f t="shared" si="8"/>
        <v>0</v>
      </c>
      <c r="AG41" s="63">
        <f t="shared" si="8"/>
        <v>200</v>
      </c>
    </row>
    <row r="42" spans="1:33" s="62" customFormat="1" x14ac:dyDescent="0.3">
      <c r="A42" s="57" t="s">
        <v>36</v>
      </c>
      <c r="B42" s="58" t="s">
        <v>174</v>
      </c>
      <c r="C42" s="58" t="s">
        <v>143</v>
      </c>
      <c r="D42" s="58" t="s">
        <v>42</v>
      </c>
      <c r="E42" s="59">
        <v>3</v>
      </c>
      <c r="F42" s="59">
        <v>10</v>
      </c>
      <c r="G42" s="59"/>
      <c r="H42" s="59"/>
      <c r="I42" s="59">
        <v>3</v>
      </c>
      <c r="J42" s="59"/>
      <c r="K42" s="59">
        <v>1</v>
      </c>
      <c r="L42" s="59"/>
      <c r="M42" s="59"/>
      <c r="N42" s="59"/>
      <c r="O42" s="59"/>
      <c r="P42" s="59">
        <f t="shared" si="7"/>
        <v>4</v>
      </c>
      <c r="Q42" s="59">
        <f t="shared" si="1"/>
        <v>9</v>
      </c>
      <c r="R42" s="60">
        <v>60</v>
      </c>
      <c r="S42" s="61">
        <f t="shared" si="3"/>
        <v>540</v>
      </c>
      <c r="U42" s="62">
        <v>0</v>
      </c>
      <c r="V42" s="62">
        <f t="shared" si="4"/>
        <v>9</v>
      </c>
      <c r="W42" s="63">
        <f t="shared" si="9"/>
        <v>0</v>
      </c>
      <c r="X42" s="63">
        <f t="shared" si="9"/>
        <v>0</v>
      </c>
      <c r="Y42" s="63">
        <f t="shared" si="9"/>
        <v>180</v>
      </c>
      <c r="Z42" s="63">
        <f t="shared" si="9"/>
        <v>0</v>
      </c>
      <c r="AA42" s="63">
        <f t="shared" si="9"/>
        <v>60</v>
      </c>
      <c r="AB42" s="63">
        <f t="shared" si="9"/>
        <v>0</v>
      </c>
      <c r="AC42" s="63">
        <f t="shared" si="8"/>
        <v>0</v>
      </c>
      <c r="AD42" s="63">
        <f t="shared" si="8"/>
        <v>0</v>
      </c>
      <c r="AE42" s="63">
        <f t="shared" si="8"/>
        <v>0</v>
      </c>
      <c r="AF42" s="63">
        <f t="shared" si="8"/>
        <v>240</v>
      </c>
      <c r="AG42" s="63">
        <f t="shared" si="8"/>
        <v>540</v>
      </c>
    </row>
    <row r="43" spans="1:33" s="62" customFormat="1" x14ac:dyDescent="0.3">
      <c r="A43" s="57" t="s">
        <v>36</v>
      </c>
      <c r="B43" s="58" t="s">
        <v>175</v>
      </c>
      <c r="C43" s="58" t="s">
        <v>143</v>
      </c>
      <c r="D43" s="58" t="s">
        <v>43</v>
      </c>
      <c r="E43" s="59">
        <v>24</v>
      </c>
      <c r="F43" s="59"/>
      <c r="G43" s="59">
        <v>1</v>
      </c>
      <c r="H43" s="59"/>
      <c r="I43" s="59"/>
      <c r="J43" s="59"/>
      <c r="K43" s="59"/>
      <c r="L43" s="59"/>
      <c r="M43" s="59"/>
      <c r="N43" s="59"/>
      <c r="O43" s="59"/>
      <c r="P43" s="59">
        <f t="shared" si="7"/>
        <v>1</v>
      </c>
      <c r="Q43" s="59">
        <f t="shared" si="1"/>
        <v>23</v>
      </c>
      <c r="R43" s="60">
        <v>80</v>
      </c>
      <c r="S43" s="61">
        <f t="shared" si="3"/>
        <v>1840</v>
      </c>
      <c r="U43" s="62">
        <v>0</v>
      </c>
      <c r="V43" s="62">
        <f t="shared" si="4"/>
        <v>23</v>
      </c>
      <c r="W43" s="63">
        <f t="shared" si="9"/>
        <v>80</v>
      </c>
      <c r="X43" s="63">
        <f t="shared" si="9"/>
        <v>0</v>
      </c>
      <c r="Y43" s="63">
        <f t="shared" si="9"/>
        <v>0</v>
      </c>
      <c r="Z43" s="63">
        <f t="shared" si="9"/>
        <v>0</v>
      </c>
      <c r="AA43" s="63">
        <f t="shared" si="9"/>
        <v>0</v>
      </c>
      <c r="AB43" s="63">
        <f t="shared" si="9"/>
        <v>0</v>
      </c>
      <c r="AC43" s="63">
        <f t="shared" si="8"/>
        <v>0</v>
      </c>
      <c r="AD43" s="63">
        <f t="shared" si="8"/>
        <v>0</v>
      </c>
      <c r="AE43" s="63">
        <f t="shared" si="8"/>
        <v>0</v>
      </c>
      <c r="AF43" s="63">
        <f t="shared" si="8"/>
        <v>80</v>
      </c>
      <c r="AG43" s="63">
        <f t="shared" si="8"/>
        <v>1840</v>
      </c>
    </row>
    <row r="44" spans="1:33" s="62" customFormat="1" x14ac:dyDescent="0.3">
      <c r="A44" s="57" t="s">
        <v>36</v>
      </c>
      <c r="B44" s="58" t="s">
        <v>176</v>
      </c>
      <c r="C44" s="58" t="s">
        <v>19</v>
      </c>
      <c r="D44" s="58" t="s">
        <v>100</v>
      </c>
      <c r="E44" s="59">
        <v>20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>
        <f t="shared" si="7"/>
        <v>0</v>
      </c>
      <c r="Q44" s="59">
        <f t="shared" si="1"/>
        <v>20</v>
      </c>
      <c r="R44" s="60">
        <v>30</v>
      </c>
      <c r="S44" s="61">
        <f t="shared" si="3"/>
        <v>600</v>
      </c>
      <c r="U44" s="62">
        <v>0</v>
      </c>
      <c r="V44" s="62">
        <f t="shared" si="4"/>
        <v>20</v>
      </c>
      <c r="W44" s="63">
        <f t="shared" si="9"/>
        <v>0</v>
      </c>
      <c r="X44" s="63">
        <f t="shared" si="9"/>
        <v>0</v>
      </c>
      <c r="Y44" s="63">
        <f t="shared" si="9"/>
        <v>0</v>
      </c>
      <c r="Z44" s="63">
        <f t="shared" si="9"/>
        <v>0</v>
      </c>
      <c r="AA44" s="63">
        <f t="shared" si="9"/>
        <v>0</v>
      </c>
      <c r="AB44" s="63">
        <f t="shared" si="9"/>
        <v>0</v>
      </c>
      <c r="AC44" s="63">
        <f t="shared" si="8"/>
        <v>0</v>
      </c>
      <c r="AD44" s="63">
        <f t="shared" si="8"/>
        <v>0</v>
      </c>
      <c r="AE44" s="63">
        <f t="shared" si="8"/>
        <v>0</v>
      </c>
      <c r="AF44" s="63">
        <f t="shared" si="8"/>
        <v>0</v>
      </c>
      <c r="AG44" s="63">
        <f t="shared" si="8"/>
        <v>600</v>
      </c>
    </row>
    <row r="45" spans="1:33" s="62" customFormat="1" x14ac:dyDescent="0.3">
      <c r="A45" s="57" t="s">
        <v>36</v>
      </c>
      <c r="B45" s="58" t="s">
        <v>177</v>
      </c>
      <c r="C45" s="58" t="s">
        <v>19</v>
      </c>
      <c r="D45" s="58" t="s">
        <v>101</v>
      </c>
      <c r="E45" s="59">
        <v>2</v>
      </c>
      <c r="F45" s="59"/>
      <c r="G45" s="59">
        <v>2</v>
      </c>
      <c r="H45" s="59"/>
      <c r="I45" s="59"/>
      <c r="J45" s="59"/>
      <c r="K45" s="59"/>
      <c r="L45" s="59"/>
      <c r="M45" s="59"/>
      <c r="N45" s="59"/>
      <c r="O45" s="59"/>
      <c r="P45" s="59">
        <f t="shared" si="7"/>
        <v>2</v>
      </c>
      <c r="Q45" s="59">
        <f t="shared" si="1"/>
        <v>0</v>
      </c>
      <c r="R45" s="60">
        <v>25</v>
      </c>
      <c r="S45" s="61">
        <f t="shared" si="3"/>
        <v>0</v>
      </c>
      <c r="U45" s="62">
        <v>0</v>
      </c>
      <c r="V45" s="62">
        <f t="shared" si="4"/>
        <v>0</v>
      </c>
      <c r="W45" s="63">
        <f t="shared" si="9"/>
        <v>50</v>
      </c>
      <c r="X45" s="63">
        <f t="shared" si="9"/>
        <v>0</v>
      </c>
      <c r="Y45" s="63">
        <f t="shared" si="9"/>
        <v>0</v>
      </c>
      <c r="Z45" s="63">
        <f t="shared" si="9"/>
        <v>0</v>
      </c>
      <c r="AA45" s="63">
        <f t="shared" si="9"/>
        <v>0</v>
      </c>
      <c r="AB45" s="63">
        <f t="shared" si="9"/>
        <v>0</v>
      </c>
      <c r="AC45" s="63">
        <f t="shared" si="8"/>
        <v>0</v>
      </c>
      <c r="AD45" s="63">
        <f t="shared" si="8"/>
        <v>0</v>
      </c>
      <c r="AE45" s="63">
        <f t="shared" si="8"/>
        <v>0</v>
      </c>
      <c r="AF45" s="63">
        <f t="shared" si="8"/>
        <v>50</v>
      </c>
      <c r="AG45" s="63">
        <f t="shared" si="8"/>
        <v>0</v>
      </c>
    </row>
    <row r="46" spans="1:33" s="62" customFormat="1" x14ac:dyDescent="0.3">
      <c r="A46" s="57" t="s">
        <v>36</v>
      </c>
      <c r="B46" s="58" t="s">
        <v>178</v>
      </c>
      <c r="C46" s="50" t="s">
        <v>370</v>
      </c>
      <c r="D46" s="58" t="s">
        <v>363</v>
      </c>
      <c r="E46" s="59">
        <v>2</v>
      </c>
      <c r="F46" s="59"/>
      <c r="G46" s="59"/>
      <c r="H46" s="59"/>
      <c r="I46" s="59"/>
      <c r="J46" s="59">
        <v>1</v>
      </c>
      <c r="K46" s="59"/>
      <c r="L46" s="59"/>
      <c r="M46" s="59"/>
      <c r="N46" s="59">
        <v>1</v>
      </c>
      <c r="O46" s="59"/>
      <c r="P46" s="59">
        <f t="shared" si="7"/>
        <v>2</v>
      </c>
      <c r="Q46" s="59">
        <f t="shared" si="1"/>
        <v>0</v>
      </c>
      <c r="R46" s="60">
        <v>95</v>
      </c>
      <c r="S46" s="61">
        <f t="shared" si="3"/>
        <v>0</v>
      </c>
      <c r="U46" s="62">
        <v>0</v>
      </c>
      <c r="V46" s="62">
        <f t="shared" si="4"/>
        <v>0</v>
      </c>
      <c r="W46" s="63">
        <f t="shared" si="9"/>
        <v>0</v>
      </c>
      <c r="X46" s="63">
        <f t="shared" si="9"/>
        <v>0</v>
      </c>
      <c r="Y46" s="63">
        <f t="shared" si="9"/>
        <v>0</v>
      </c>
      <c r="Z46" s="63">
        <f t="shared" si="9"/>
        <v>95</v>
      </c>
      <c r="AA46" s="63">
        <f t="shared" si="9"/>
        <v>0</v>
      </c>
      <c r="AB46" s="63">
        <f t="shared" si="9"/>
        <v>0</v>
      </c>
      <c r="AC46" s="63">
        <f t="shared" si="8"/>
        <v>0</v>
      </c>
      <c r="AD46" s="63">
        <f t="shared" si="8"/>
        <v>95</v>
      </c>
      <c r="AE46" s="63">
        <f t="shared" si="8"/>
        <v>0</v>
      </c>
      <c r="AF46" s="63">
        <f t="shared" si="8"/>
        <v>190</v>
      </c>
      <c r="AG46" s="63">
        <f t="shared" si="8"/>
        <v>0</v>
      </c>
    </row>
    <row r="47" spans="1:33" s="62" customFormat="1" x14ac:dyDescent="0.3">
      <c r="A47" s="57" t="s">
        <v>36</v>
      </c>
      <c r="B47" s="58" t="s">
        <v>179</v>
      </c>
      <c r="C47" s="50" t="s">
        <v>370</v>
      </c>
      <c r="D47" s="58" t="s">
        <v>364</v>
      </c>
      <c r="E47" s="59">
        <v>1</v>
      </c>
      <c r="F47" s="59"/>
      <c r="G47" s="59"/>
      <c r="H47" s="59"/>
      <c r="I47" s="59"/>
      <c r="J47" s="59"/>
      <c r="K47" s="59"/>
      <c r="L47" s="59"/>
      <c r="M47" s="59"/>
      <c r="N47" s="59">
        <v>1</v>
      </c>
      <c r="O47" s="59"/>
      <c r="P47" s="59">
        <f t="shared" si="7"/>
        <v>1</v>
      </c>
      <c r="Q47" s="59">
        <f t="shared" si="1"/>
        <v>0</v>
      </c>
      <c r="R47" s="60">
        <v>85</v>
      </c>
      <c r="S47" s="61">
        <f t="shared" si="3"/>
        <v>0</v>
      </c>
      <c r="V47" s="62">
        <f t="shared" si="4"/>
        <v>0</v>
      </c>
      <c r="W47" s="63">
        <f t="shared" si="9"/>
        <v>0</v>
      </c>
      <c r="X47" s="63">
        <f t="shared" si="9"/>
        <v>0</v>
      </c>
      <c r="Y47" s="63">
        <f t="shared" si="9"/>
        <v>0</v>
      </c>
      <c r="Z47" s="63">
        <f t="shared" si="9"/>
        <v>0</v>
      </c>
      <c r="AA47" s="63">
        <f t="shared" si="9"/>
        <v>0</v>
      </c>
      <c r="AB47" s="63">
        <f t="shared" si="9"/>
        <v>0</v>
      </c>
      <c r="AC47" s="63">
        <f t="shared" si="8"/>
        <v>0</v>
      </c>
      <c r="AD47" s="63">
        <f t="shared" si="8"/>
        <v>85</v>
      </c>
      <c r="AE47" s="63">
        <f t="shared" si="8"/>
        <v>0</v>
      </c>
      <c r="AF47" s="63">
        <f t="shared" si="8"/>
        <v>85</v>
      </c>
      <c r="AG47" s="63">
        <f t="shared" si="8"/>
        <v>0</v>
      </c>
    </row>
    <row r="48" spans="1:33" s="62" customFormat="1" x14ac:dyDescent="0.3">
      <c r="A48" s="57" t="s">
        <v>36</v>
      </c>
      <c r="B48" s="58" t="s">
        <v>180</v>
      </c>
      <c r="C48" s="50" t="s">
        <v>370</v>
      </c>
      <c r="D48" s="58" t="s">
        <v>104</v>
      </c>
      <c r="E48" s="59">
        <v>100</v>
      </c>
      <c r="F48" s="59"/>
      <c r="G48" s="59"/>
      <c r="H48" s="59"/>
      <c r="I48" s="59">
        <v>15</v>
      </c>
      <c r="J48" s="59"/>
      <c r="K48" s="59"/>
      <c r="L48" s="59"/>
      <c r="M48" s="59"/>
      <c r="N48" s="59"/>
      <c r="O48" s="59"/>
      <c r="P48" s="59">
        <f t="shared" si="7"/>
        <v>15</v>
      </c>
      <c r="Q48" s="59">
        <f t="shared" si="1"/>
        <v>85</v>
      </c>
      <c r="R48" s="60">
        <v>12.6</v>
      </c>
      <c r="S48" s="61">
        <f t="shared" si="3"/>
        <v>1071</v>
      </c>
      <c r="U48" s="62">
        <v>0</v>
      </c>
      <c r="V48" s="62">
        <f t="shared" si="4"/>
        <v>85</v>
      </c>
      <c r="W48" s="63">
        <f t="shared" si="9"/>
        <v>0</v>
      </c>
      <c r="X48" s="63">
        <f t="shared" si="9"/>
        <v>0</v>
      </c>
      <c r="Y48" s="63">
        <f t="shared" si="9"/>
        <v>189</v>
      </c>
      <c r="Z48" s="63">
        <f t="shared" si="9"/>
        <v>0</v>
      </c>
      <c r="AA48" s="63">
        <f t="shared" si="9"/>
        <v>0</v>
      </c>
      <c r="AB48" s="63">
        <f t="shared" si="9"/>
        <v>0</v>
      </c>
      <c r="AC48" s="63">
        <f t="shared" si="8"/>
        <v>0</v>
      </c>
      <c r="AD48" s="63">
        <f t="shared" si="8"/>
        <v>0</v>
      </c>
      <c r="AE48" s="63">
        <f t="shared" si="8"/>
        <v>0</v>
      </c>
      <c r="AF48" s="63">
        <f t="shared" si="8"/>
        <v>189</v>
      </c>
      <c r="AG48" s="63">
        <f t="shared" si="8"/>
        <v>1071</v>
      </c>
    </row>
    <row r="49" spans="1:33" s="62" customFormat="1" x14ac:dyDescent="0.3">
      <c r="A49" s="57" t="s">
        <v>36</v>
      </c>
      <c r="B49" s="58" t="s">
        <v>181</v>
      </c>
      <c r="C49" s="50" t="s">
        <v>370</v>
      </c>
      <c r="D49" s="58" t="s">
        <v>365</v>
      </c>
      <c r="E49" s="59">
        <v>49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>
        <f t="shared" si="7"/>
        <v>0</v>
      </c>
      <c r="Q49" s="59">
        <f t="shared" si="1"/>
        <v>49</v>
      </c>
      <c r="R49" s="60">
        <v>20</v>
      </c>
      <c r="S49" s="61">
        <f t="shared" si="3"/>
        <v>980</v>
      </c>
      <c r="U49" s="62">
        <v>0</v>
      </c>
      <c r="V49" s="62">
        <f t="shared" si="4"/>
        <v>49</v>
      </c>
      <c r="W49" s="63">
        <f t="shared" si="9"/>
        <v>0</v>
      </c>
      <c r="X49" s="63">
        <f t="shared" si="9"/>
        <v>0</v>
      </c>
      <c r="Y49" s="63">
        <f t="shared" si="9"/>
        <v>0</v>
      </c>
      <c r="Z49" s="63">
        <f t="shared" si="9"/>
        <v>0</v>
      </c>
      <c r="AA49" s="63">
        <f t="shared" si="9"/>
        <v>0</v>
      </c>
      <c r="AB49" s="63">
        <f t="shared" si="9"/>
        <v>0</v>
      </c>
      <c r="AC49" s="63">
        <f t="shared" si="8"/>
        <v>0</v>
      </c>
      <c r="AD49" s="63">
        <f t="shared" si="8"/>
        <v>0</v>
      </c>
      <c r="AE49" s="63">
        <f t="shared" si="8"/>
        <v>0</v>
      </c>
      <c r="AF49" s="63">
        <f t="shared" si="8"/>
        <v>0</v>
      </c>
      <c r="AG49" s="63">
        <f t="shared" si="8"/>
        <v>980</v>
      </c>
    </row>
    <row r="50" spans="1:33" s="69" customFormat="1" x14ac:dyDescent="0.3">
      <c r="A50" s="64" t="s">
        <v>36</v>
      </c>
      <c r="B50" s="65" t="s">
        <v>79</v>
      </c>
      <c r="C50" s="65" t="s">
        <v>41</v>
      </c>
      <c r="D50" s="65" t="s">
        <v>64</v>
      </c>
      <c r="E50" s="66">
        <v>2</v>
      </c>
      <c r="F50" s="66">
        <v>10</v>
      </c>
      <c r="G50" s="66">
        <v>1</v>
      </c>
      <c r="H50" s="66"/>
      <c r="I50" s="66"/>
      <c r="J50" s="66"/>
      <c r="K50" s="66"/>
      <c r="L50" s="66"/>
      <c r="M50" s="66"/>
      <c r="N50" s="66"/>
      <c r="O50" s="66"/>
      <c r="P50" s="66">
        <f t="shared" si="0"/>
        <v>1</v>
      </c>
      <c r="Q50" s="66">
        <f t="shared" si="1"/>
        <v>11</v>
      </c>
      <c r="R50" s="67">
        <v>60</v>
      </c>
      <c r="S50" s="68">
        <f t="shared" si="3"/>
        <v>660</v>
      </c>
      <c r="U50" s="69">
        <v>0</v>
      </c>
      <c r="V50" s="69">
        <f t="shared" si="4"/>
        <v>11</v>
      </c>
      <c r="W50" s="70">
        <f t="shared" si="9"/>
        <v>60</v>
      </c>
      <c r="X50" s="70">
        <f t="shared" si="9"/>
        <v>0</v>
      </c>
      <c r="Y50" s="70">
        <f t="shared" si="9"/>
        <v>0</v>
      </c>
      <c r="Z50" s="70">
        <f t="shared" si="9"/>
        <v>0</v>
      </c>
      <c r="AA50" s="70">
        <f t="shared" si="9"/>
        <v>0</v>
      </c>
      <c r="AB50" s="70">
        <f t="shared" si="9"/>
        <v>0</v>
      </c>
      <c r="AC50" s="70">
        <f t="shared" si="8"/>
        <v>0</v>
      </c>
      <c r="AD50" s="70">
        <f t="shared" si="8"/>
        <v>0</v>
      </c>
      <c r="AE50" s="70">
        <f t="shared" si="8"/>
        <v>0</v>
      </c>
      <c r="AF50" s="70">
        <f t="shared" si="8"/>
        <v>60</v>
      </c>
      <c r="AG50" s="70">
        <f t="shared" si="8"/>
        <v>660</v>
      </c>
    </row>
    <row r="51" spans="1:33" s="69" customFormat="1" x14ac:dyDescent="0.3">
      <c r="A51" s="64" t="s">
        <v>36</v>
      </c>
      <c r="B51" s="65" t="s">
        <v>80</v>
      </c>
      <c r="C51" s="65" t="s">
        <v>41</v>
      </c>
      <c r="D51" s="65" t="s">
        <v>65</v>
      </c>
      <c r="E51" s="66">
        <v>14</v>
      </c>
      <c r="F51" s="66">
        <v>30</v>
      </c>
      <c r="G51" s="66">
        <v>2</v>
      </c>
      <c r="H51" s="66"/>
      <c r="I51" s="66"/>
      <c r="J51" s="66"/>
      <c r="K51" s="66"/>
      <c r="L51" s="66">
        <v>1</v>
      </c>
      <c r="M51" s="66"/>
      <c r="N51" s="66"/>
      <c r="O51" s="66"/>
      <c r="P51" s="66">
        <f t="shared" si="0"/>
        <v>3</v>
      </c>
      <c r="Q51" s="66">
        <f t="shared" si="1"/>
        <v>41</v>
      </c>
      <c r="R51" s="67">
        <v>30</v>
      </c>
      <c r="S51" s="68">
        <f t="shared" si="3"/>
        <v>1230</v>
      </c>
      <c r="U51" s="69">
        <v>0</v>
      </c>
      <c r="V51" s="69">
        <f t="shared" si="4"/>
        <v>41</v>
      </c>
      <c r="W51" s="70">
        <f t="shared" si="9"/>
        <v>60</v>
      </c>
      <c r="X51" s="70">
        <f t="shared" si="9"/>
        <v>0</v>
      </c>
      <c r="Y51" s="70">
        <f t="shared" si="9"/>
        <v>0</v>
      </c>
      <c r="Z51" s="70">
        <f t="shared" si="9"/>
        <v>0</v>
      </c>
      <c r="AA51" s="70">
        <f t="shared" si="9"/>
        <v>0</v>
      </c>
      <c r="AB51" s="70">
        <f t="shared" si="9"/>
        <v>30</v>
      </c>
      <c r="AC51" s="70">
        <f t="shared" si="8"/>
        <v>0</v>
      </c>
      <c r="AD51" s="70">
        <f t="shared" si="8"/>
        <v>0</v>
      </c>
      <c r="AE51" s="70">
        <f t="shared" si="8"/>
        <v>0</v>
      </c>
      <c r="AF51" s="70">
        <f t="shared" si="8"/>
        <v>90</v>
      </c>
      <c r="AG51" s="70">
        <f t="shared" si="8"/>
        <v>1230</v>
      </c>
    </row>
    <row r="52" spans="1:33" s="69" customFormat="1" x14ac:dyDescent="0.3">
      <c r="A52" s="64" t="s">
        <v>36</v>
      </c>
      <c r="B52" s="65" t="s">
        <v>81</v>
      </c>
      <c r="C52" s="65" t="s">
        <v>41</v>
      </c>
      <c r="D52" s="65" t="s">
        <v>40</v>
      </c>
      <c r="E52" s="66">
        <v>0</v>
      </c>
      <c r="F52" s="66">
        <v>20</v>
      </c>
      <c r="G52" s="66">
        <v>1</v>
      </c>
      <c r="H52" s="66"/>
      <c r="I52" s="66"/>
      <c r="J52" s="66"/>
      <c r="K52" s="66"/>
      <c r="L52" s="66"/>
      <c r="M52" s="66"/>
      <c r="N52" s="66"/>
      <c r="O52" s="66"/>
      <c r="P52" s="66">
        <f t="shared" si="0"/>
        <v>1</v>
      </c>
      <c r="Q52" s="66">
        <f t="shared" si="1"/>
        <v>19</v>
      </c>
      <c r="R52" s="67">
        <v>15</v>
      </c>
      <c r="S52" s="68">
        <f t="shared" si="3"/>
        <v>285</v>
      </c>
      <c r="U52" s="69">
        <v>0</v>
      </c>
      <c r="V52" s="69">
        <f t="shared" si="4"/>
        <v>19</v>
      </c>
      <c r="W52" s="70">
        <f t="shared" si="9"/>
        <v>15</v>
      </c>
      <c r="X52" s="70">
        <f t="shared" si="9"/>
        <v>0</v>
      </c>
      <c r="Y52" s="70">
        <f t="shared" si="9"/>
        <v>0</v>
      </c>
      <c r="Z52" s="70">
        <f t="shared" si="9"/>
        <v>0</v>
      </c>
      <c r="AA52" s="70">
        <f t="shared" si="9"/>
        <v>0</v>
      </c>
      <c r="AB52" s="70">
        <f t="shared" si="9"/>
        <v>0</v>
      </c>
      <c r="AC52" s="70">
        <f t="shared" si="8"/>
        <v>0</v>
      </c>
      <c r="AD52" s="70">
        <f t="shared" si="8"/>
        <v>0</v>
      </c>
      <c r="AE52" s="70">
        <f t="shared" si="8"/>
        <v>0</v>
      </c>
      <c r="AF52" s="70">
        <f t="shared" si="8"/>
        <v>15</v>
      </c>
      <c r="AG52" s="70">
        <f t="shared" si="8"/>
        <v>285</v>
      </c>
    </row>
    <row r="53" spans="1:33" s="69" customFormat="1" x14ac:dyDescent="0.3">
      <c r="A53" s="64" t="s">
        <v>36</v>
      </c>
      <c r="B53" s="65" t="s">
        <v>82</v>
      </c>
      <c r="C53" s="65" t="s">
        <v>18</v>
      </c>
      <c r="D53" s="65" t="s">
        <v>4</v>
      </c>
      <c r="E53" s="66">
        <v>0</v>
      </c>
      <c r="F53" s="66">
        <v>20</v>
      </c>
      <c r="G53" s="66">
        <v>1</v>
      </c>
      <c r="H53" s="66">
        <v>1</v>
      </c>
      <c r="I53" s="66"/>
      <c r="J53" s="66"/>
      <c r="K53" s="66"/>
      <c r="L53" s="66"/>
      <c r="M53" s="66"/>
      <c r="N53" s="66"/>
      <c r="O53" s="66"/>
      <c r="P53" s="66">
        <f t="shared" si="0"/>
        <v>2</v>
      </c>
      <c r="Q53" s="66">
        <f t="shared" si="1"/>
        <v>18</v>
      </c>
      <c r="R53" s="67">
        <v>25</v>
      </c>
      <c r="S53" s="68">
        <f t="shared" si="3"/>
        <v>450</v>
      </c>
      <c r="U53" s="66"/>
      <c r="V53" s="69">
        <f t="shared" si="4"/>
        <v>18</v>
      </c>
      <c r="W53" s="70">
        <f t="shared" si="9"/>
        <v>25</v>
      </c>
      <c r="X53" s="70">
        <f t="shared" si="9"/>
        <v>25</v>
      </c>
      <c r="Y53" s="70">
        <f t="shared" si="9"/>
        <v>0</v>
      </c>
      <c r="Z53" s="70">
        <f t="shared" si="9"/>
        <v>0</v>
      </c>
      <c r="AA53" s="70">
        <f t="shared" si="9"/>
        <v>0</v>
      </c>
      <c r="AB53" s="70">
        <f t="shared" si="9"/>
        <v>0</v>
      </c>
      <c r="AC53" s="70">
        <f t="shared" si="8"/>
        <v>0</v>
      </c>
      <c r="AD53" s="70">
        <f t="shared" si="8"/>
        <v>0</v>
      </c>
      <c r="AE53" s="70">
        <f t="shared" si="8"/>
        <v>0</v>
      </c>
      <c r="AF53" s="70">
        <f t="shared" si="8"/>
        <v>50</v>
      </c>
      <c r="AG53" s="70">
        <f t="shared" si="8"/>
        <v>450</v>
      </c>
    </row>
    <row r="54" spans="1:33" s="69" customFormat="1" x14ac:dyDescent="0.3">
      <c r="A54" s="64" t="s">
        <v>36</v>
      </c>
      <c r="B54" s="65" t="s">
        <v>83</v>
      </c>
      <c r="C54" s="65" t="s">
        <v>18</v>
      </c>
      <c r="D54" s="65" t="s">
        <v>5</v>
      </c>
      <c r="E54" s="66">
        <v>0</v>
      </c>
      <c r="F54" s="66">
        <v>30</v>
      </c>
      <c r="G54" s="66">
        <v>2</v>
      </c>
      <c r="H54" s="66"/>
      <c r="I54" s="66"/>
      <c r="J54" s="66"/>
      <c r="K54" s="66"/>
      <c r="L54" s="66"/>
      <c r="M54" s="66"/>
      <c r="N54" s="66"/>
      <c r="O54" s="66"/>
      <c r="P54" s="66">
        <f t="shared" si="0"/>
        <v>2</v>
      </c>
      <c r="Q54" s="66">
        <f t="shared" si="1"/>
        <v>28</v>
      </c>
      <c r="R54" s="67">
        <v>13</v>
      </c>
      <c r="S54" s="68">
        <f t="shared" si="3"/>
        <v>364</v>
      </c>
      <c r="U54" s="66"/>
      <c r="V54" s="69">
        <f t="shared" si="4"/>
        <v>28</v>
      </c>
      <c r="W54" s="70">
        <f t="shared" si="9"/>
        <v>26</v>
      </c>
      <c r="X54" s="70">
        <f t="shared" si="9"/>
        <v>0</v>
      </c>
      <c r="Y54" s="70">
        <f t="shared" si="9"/>
        <v>0</v>
      </c>
      <c r="Z54" s="70">
        <f t="shared" si="9"/>
        <v>0</v>
      </c>
      <c r="AA54" s="70">
        <f t="shared" si="9"/>
        <v>0</v>
      </c>
      <c r="AB54" s="70">
        <f t="shared" si="9"/>
        <v>0</v>
      </c>
      <c r="AC54" s="70">
        <f t="shared" si="8"/>
        <v>0</v>
      </c>
      <c r="AD54" s="70">
        <f t="shared" si="8"/>
        <v>0</v>
      </c>
      <c r="AE54" s="70">
        <f t="shared" si="8"/>
        <v>0</v>
      </c>
      <c r="AF54" s="70">
        <f t="shared" si="8"/>
        <v>26</v>
      </c>
      <c r="AG54" s="70">
        <f t="shared" si="8"/>
        <v>364</v>
      </c>
    </row>
    <row r="55" spans="1:33" s="69" customFormat="1" x14ac:dyDescent="0.3">
      <c r="A55" s="64" t="s">
        <v>36</v>
      </c>
      <c r="B55" s="65" t="s">
        <v>84</v>
      </c>
      <c r="C55" s="65" t="s">
        <v>18</v>
      </c>
      <c r="D55" s="65" t="s">
        <v>348</v>
      </c>
      <c r="E55" s="66">
        <v>43</v>
      </c>
      <c r="F55" s="66"/>
      <c r="G55" s="66">
        <v>1</v>
      </c>
      <c r="H55" s="66">
        <v>1</v>
      </c>
      <c r="I55" s="66"/>
      <c r="J55" s="66"/>
      <c r="K55" s="66"/>
      <c r="L55" s="66"/>
      <c r="M55" s="66"/>
      <c r="N55" s="66">
        <v>4</v>
      </c>
      <c r="O55" s="66"/>
      <c r="P55" s="66">
        <f t="shared" si="0"/>
        <v>6</v>
      </c>
      <c r="Q55" s="66">
        <f t="shared" si="1"/>
        <v>37</v>
      </c>
      <c r="R55" s="67">
        <v>55</v>
      </c>
      <c r="S55" s="68">
        <f t="shared" si="3"/>
        <v>2035</v>
      </c>
      <c r="V55" s="69">
        <f t="shared" si="4"/>
        <v>37</v>
      </c>
      <c r="W55" s="70">
        <f t="shared" si="9"/>
        <v>55</v>
      </c>
      <c r="X55" s="70">
        <f t="shared" si="9"/>
        <v>55</v>
      </c>
      <c r="Y55" s="70">
        <f t="shared" si="9"/>
        <v>0</v>
      </c>
      <c r="Z55" s="70">
        <f t="shared" si="9"/>
        <v>0</v>
      </c>
      <c r="AA55" s="70">
        <f t="shared" si="9"/>
        <v>0</v>
      </c>
      <c r="AB55" s="70">
        <f t="shared" si="9"/>
        <v>0</v>
      </c>
      <c r="AC55" s="70">
        <f t="shared" si="8"/>
        <v>0</v>
      </c>
      <c r="AD55" s="70">
        <f t="shared" si="8"/>
        <v>220</v>
      </c>
      <c r="AE55" s="70">
        <f t="shared" si="8"/>
        <v>0</v>
      </c>
      <c r="AF55" s="70">
        <f t="shared" si="8"/>
        <v>330</v>
      </c>
      <c r="AG55" s="70">
        <f t="shared" si="8"/>
        <v>2035</v>
      </c>
    </row>
    <row r="56" spans="1:33" s="69" customFormat="1" x14ac:dyDescent="0.3">
      <c r="A56" s="64" t="s">
        <v>36</v>
      </c>
      <c r="B56" s="65" t="s">
        <v>85</v>
      </c>
      <c r="C56" s="65" t="s">
        <v>18</v>
      </c>
      <c r="D56" s="65" t="s">
        <v>347</v>
      </c>
      <c r="E56" s="66"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>
        <f t="shared" si="0"/>
        <v>0</v>
      </c>
      <c r="Q56" s="66">
        <f t="shared" si="1"/>
        <v>0</v>
      </c>
      <c r="R56" s="67">
        <v>100</v>
      </c>
      <c r="S56" s="68">
        <f t="shared" si="3"/>
        <v>0</v>
      </c>
      <c r="V56" s="69">
        <f t="shared" si="4"/>
        <v>0</v>
      </c>
      <c r="W56" s="70">
        <f t="shared" si="9"/>
        <v>0</v>
      </c>
      <c r="X56" s="70">
        <f t="shared" si="9"/>
        <v>0</v>
      </c>
      <c r="Y56" s="70">
        <f t="shared" si="9"/>
        <v>0</v>
      </c>
      <c r="Z56" s="70">
        <f t="shared" si="9"/>
        <v>0</v>
      </c>
      <c r="AA56" s="70">
        <f t="shared" si="9"/>
        <v>0</v>
      </c>
      <c r="AB56" s="70">
        <f t="shared" si="9"/>
        <v>0</v>
      </c>
      <c r="AC56" s="70">
        <f t="shared" si="8"/>
        <v>0</v>
      </c>
      <c r="AD56" s="70">
        <f t="shared" si="8"/>
        <v>0</v>
      </c>
      <c r="AE56" s="70">
        <f t="shared" si="8"/>
        <v>0</v>
      </c>
      <c r="AF56" s="70">
        <f t="shared" si="8"/>
        <v>0</v>
      </c>
      <c r="AG56" s="70">
        <f t="shared" si="8"/>
        <v>0</v>
      </c>
    </row>
    <row r="57" spans="1:33" s="69" customFormat="1" x14ac:dyDescent="0.3">
      <c r="A57" s="64" t="s">
        <v>36</v>
      </c>
      <c r="B57" s="65" t="s">
        <v>86</v>
      </c>
      <c r="C57" s="65" t="s">
        <v>20</v>
      </c>
      <c r="D57" s="65" t="s">
        <v>361</v>
      </c>
      <c r="E57" s="66">
        <v>2</v>
      </c>
      <c r="F57" s="66">
        <v>12</v>
      </c>
      <c r="G57" s="66">
        <v>1</v>
      </c>
      <c r="H57" s="66"/>
      <c r="I57" s="66">
        <v>1</v>
      </c>
      <c r="J57" s="66"/>
      <c r="K57" s="66"/>
      <c r="L57" s="66"/>
      <c r="M57" s="66"/>
      <c r="N57" s="66"/>
      <c r="O57" s="66">
        <v>1</v>
      </c>
      <c r="P57" s="66">
        <f t="shared" ref="P57:P76" si="10">SUM(G57:O57)</f>
        <v>3</v>
      </c>
      <c r="Q57" s="66">
        <f t="shared" si="1"/>
        <v>11</v>
      </c>
      <c r="R57" s="67">
        <v>60</v>
      </c>
      <c r="S57" s="68">
        <f t="shared" si="3"/>
        <v>660</v>
      </c>
      <c r="U57" s="66">
        <v>0</v>
      </c>
      <c r="V57" s="69">
        <f t="shared" si="4"/>
        <v>11</v>
      </c>
      <c r="W57" s="70">
        <f t="shared" si="9"/>
        <v>60</v>
      </c>
      <c r="X57" s="70">
        <f t="shared" si="9"/>
        <v>0</v>
      </c>
      <c r="Y57" s="70">
        <f t="shared" si="9"/>
        <v>60</v>
      </c>
      <c r="Z57" s="70">
        <f t="shared" si="9"/>
        <v>0</v>
      </c>
      <c r="AA57" s="70">
        <f t="shared" si="9"/>
        <v>0</v>
      </c>
      <c r="AB57" s="70">
        <f t="shared" si="9"/>
        <v>0</v>
      </c>
      <c r="AC57" s="70">
        <f t="shared" si="8"/>
        <v>0</v>
      </c>
      <c r="AD57" s="70">
        <f t="shared" si="8"/>
        <v>0</v>
      </c>
      <c r="AE57" s="70">
        <f t="shared" si="8"/>
        <v>60</v>
      </c>
      <c r="AF57" s="70">
        <f t="shared" si="8"/>
        <v>180</v>
      </c>
      <c r="AG57" s="70">
        <f t="shared" si="8"/>
        <v>660</v>
      </c>
    </row>
    <row r="58" spans="1:33" s="69" customFormat="1" x14ac:dyDescent="0.3">
      <c r="A58" s="64" t="s">
        <v>36</v>
      </c>
      <c r="B58" s="65" t="s">
        <v>87</v>
      </c>
      <c r="C58" s="50" t="s">
        <v>370</v>
      </c>
      <c r="D58" s="65" t="s">
        <v>360</v>
      </c>
      <c r="E58" s="66">
        <v>0</v>
      </c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>
        <f t="shared" si="10"/>
        <v>0</v>
      </c>
      <c r="Q58" s="66">
        <f t="shared" si="1"/>
        <v>0</v>
      </c>
      <c r="R58" s="67">
        <v>16</v>
      </c>
      <c r="S58" s="68">
        <f t="shared" si="3"/>
        <v>0</v>
      </c>
      <c r="U58" s="66">
        <v>25</v>
      </c>
      <c r="V58" s="69">
        <f t="shared" si="4"/>
        <v>25</v>
      </c>
      <c r="W58" s="70">
        <f t="shared" si="9"/>
        <v>0</v>
      </c>
      <c r="X58" s="70">
        <f t="shared" si="9"/>
        <v>0</v>
      </c>
      <c r="Y58" s="70">
        <f t="shared" si="9"/>
        <v>0</v>
      </c>
      <c r="Z58" s="70">
        <f t="shared" si="9"/>
        <v>0</v>
      </c>
      <c r="AA58" s="70">
        <f t="shared" si="9"/>
        <v>0</v>
      </c>
      <c r="AB58" s="70">
        <f t="shared" si="9"/>
        <v>0</v>
      </c>
      <c r="AC58" s="70">
        <f t="shared" si="9"/>
        <v>0</v>
      </c>
      <c r="AD58" s="70">
        <f t="shared" si="9"/>
        <v>0</v>
      </c>
      <c r="AE58" s="70">
        <f t="shared" si="9"/>
        <v>0</v>
      </c>
      <c r="AF58" s="70">
        <f t="shared" si="9"/>
        <v>0</v>
      </c>
      <c r="AG58" s="70">
        <f t="shared" si="9"/>
        <v>0</v>
      </c>
    </row>
    <row r="59" spans="1:33" s="69" customFormat="1" x14ac:dyDescent="0.3">
      <c r="A59" s="64" t="s">
        <v>37</v>
      </c>
      <c r="B59" s="65" t="s">
        <v>182</v>
      </c>
      <c r="C59" s="50" t="s">
        <v>370</v>
      </c>
      <c r="D59" s="65" t="s">
        <v>359</v>
      </c>
      <c r="E59" s="66">
        <v>0</v>
      </c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>
        <f t="shared" si="10"/>
        <v>0</v>
      </c>
      <c r="Q59" s="66">
        <f t="shared" si="1"/>
        <v>0</v>
      </c>
      <c r="R59" s="67">
        <v>325</v>
      </c>
      <c r="S59" s="68">
        <f t="shared" si="3"/>
        <v>0</v>
      </c>
      <c r="U59" s="66">
        <v>0</v>
      </c>
      <c r="V59" s="69">
        <f t="shared" si="4"/>
        <v>0</v>
      </c>
      <c r="W59" s="70">
        <f t="shared" ref="W59:AG74" si="11">G59*$R59</f>
        <v>0</v>
      </c>
      <c r="X59" s="70">
        <f t="shared" si="11"/>
        <v>0</v>
      </c>
      <c r="Y59" s="70">
        <f t="shared" si="11"/>
        <v>0</v>
      </c>
      <c r="Z59" s="70">
        <f t="shared" si="11"/>
        <v>0</v>
      </c>
      <c r="AA59" s="70">
        <f t="shared" si="11"/>
        <v>0</v>
      </c>
      <c r="AB59" s="70">
        <f t="shared" si="11"/>
        <v>0</v>
      </c>
      <c r="AC59" s="70">
        <f t="shared" si="11"/>
        <v>0</v>
      </c>
      <c r="AD59" s="70">
        <f t="shared" si="11"/>
        <v>0</v>
      </c>
      <c r="AE59" s="70">
        <f t="shared" si="11"/>
        <v>0</v>
      </c>
      <c r="AF59" s="70">
        <f t="shared" si="11"/>
        <v>0</v>
      </c>
      <c r="AG59" s="70">
        <f t="shared" si="11"/>
        <v>0</v>
      </c>
    </row>
    <row r="60" spans="1:33" s="69" customFormat="1" x14ac:dyDescent="0.3">
      <c r="A60" s="64" t="s">
        <v>36</v>
      </c>
      <c r="B60" s="65" t="s">
        <v>88</v>
      </c>
      <c r="C60" s="65" t="s">
        <v>18</v>
      </c>
      <c r="D60" s="65" t="s">
        <v>6</v>
      </c>
      <c r="E60" s="66">
        <v>10</v>
      </c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>
        <f t="shared" si="10"/>
        <v>0</v>
      </c>
      <c r="Q60" s="66">
        <f t="shared" si="1"/>
        <v>10</v>
      </c>
      <c r="R60" s="67">
        <v>14</v>
      </c>
      <c r="S60" s="68">
        <f t="shared" si="3"/>
        <v>140</v>
      </c>
      <c r="U60" s="66">
        <v>0</v>
      </c>
      <c r="V60" s="69">
        <f t="shared" si="4"/>
        <v>10</v>
      </c>
      <c r="W60" s="70">
        <f t="shared" si="11"/>
        <v>0</v>
      </c>
      <c r="X60" s="70">
        <f t="shared" si="11"/>
        <v>0</v>
      </c>
      <c r="Y60" s="70">
        <f t="shared" si="11"/>
        <v>0</v>
      </c>
      <c r="Z60" s="70">
        <f t="shared" si="11"/>
        <v>0</v>
      </c>
      <c r="AA60" s="70">
        <f t="shared" si="11"/>
        <v>0</v>
      </c>
      <c r="AB60" s="70">
        <f t="shared" si="11"/>
        <v>0</v>
      </c>
      <c r="AC60" s="70">
        <f t="shared" si="11"/>
        <v>0</v>
      </c>
      <c r="AD60" s="70">
        <f t="shared" si="11"/>
        <v>0</v>
      </c>
      <c r="AE60" s="70">
        <f t="shared" si="11"/>
        <v>0</v>
      </c>
      <c r="AF60" s="70">
        <f t="shared" si="11"/>
        <v>0</v>
      </c>
      <c r="AG60" s="70">
        <f t="shared" si="11"/>
        <v>140</v>
      </c>
    </row>
    <row r="61" spans="1:33" s="69" customFormat="1" x14ac:dyDescent="0.3">
      <c r="A61" s="64" t="s">
        <v>37</v>
      </c>
      <c r="B61" s="65" t="s">
        <v>89</v>
      </c>
      <c r="C61" s="50" t="s">
        <v>370</v>
      </c>
      <c r="D61" s="65" t="s">
        <v>144</v>
      </c>
      <c r="E61" s="66">
        <v>0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>
        <f t="shared" si="10"/>
        <v>0</v>
      </c>
      <c r="Q61" s="66">
        <f t="shared" si="1"/>
        <v>0</v>
      </c>
      <c r="R61" s="67">
        <v>400</v>
      </c>
      <c r="S61" s="68">
        <f t="shared" si="3"/>
        <v>0</v>
      </c>
      <c r="U61" s="66">
        <v>0</v>
      </c>
      <c r="V61" s="69">
        <f t="shared" si="4"/>
        <v>0</v>
      </c>
      <c r="W61" s="70">
        <f t="shared" si="11"/>
        <v>0</v>
      </c>
      <c r="X61" s="70">
        <f t="shared" si="11"/>
        <v>0</v>
      </c>
      <c r="Y61" s="70">
        <f t="shared" si="11"/>
        <v>0</v>
      </c>
      <c r="Z61" s="70">
        <f t="shared" si="11"/>
        <v>0</v>
      </c>
      <c r="AA61" s="70">
        <f t="shared" si="11"/>
        <v>0</v>
      </c>
      <c r="AB61" s="70">
        <f t="shared" si="11"/>
        <v>0</v>
      </c>
      <c r="AC61" s="70">
        <f t="shared" si="11"/>
        <v>0</v>
      </c>
      <c r="AD61" s="70">
        <f t="shared" si="11"/>
        <v>0</v>
      </c>
      <c r="AE61" s="70">
        <f t="shared" si="11"/>
        <v>0</v>
      </c>
      <c r="AF61" s="70">
        <f t="shared" si="11"/>
        <v>0</v>
      </c>
      <c r="AG61" s="70">
        <f t="shared" si="11"/>
        <v>0</v>
      </c>
    </row>
    <row r="62" spans="1:33" s="69" customFormat="1" x14ac:dyDescent="0.3">
      <c r="A62" s="64" t="s">
        <v>37</v>
      </c>
      <c r="B62" s="65" t="s">
        <v>183</v>
      </c>
      <c r="C62" s="50" t="s">
        <v>370</v>
      </c>
      <c r="D62" s="65" t="s">
        <v>145</v>
      </c>
      <c r="E62" s="66">
        <v>1</v>
      </c>
      <c r="F62" s="66"/>
      <c r="G62" s="66"/>
      <c r="H62" s="66"/>
      <c r="I62" s="66"/>
      <c r="J62" s="66">
        <v>1</v>
      </c>
      <c r="K62" s="66"/>
      <c r="L62" s="66"/>
      <c r="M62" s="66"/>
      <c r="N62" s="66"/>
      <c r="O62" s="66"/>
      <c r="P62" s="66">
        <f t="shared" si="10"/>
        <v>1</v>
      </c>
      <c r="Q62" s="66">
        <f t="shared" si="1"/>
        <v>0</v>
      </c>
      <c r="R62" s="67">
        <v>200</v>
      </c>
      <c r="S62" s="68">
        <f t="shared" si="3"/>
        <v>0</v>
      </c>
      <c r="U62" s="66">
        <v>0</v>
      </c>
      <c r="V62" s="69">
        <f t="shared" si="4"/>
        <v>0</v>
      </c>
      <c r="W62" s="70">
        <f t="shared" si="11"/>
        <v>0</v>
      </c>
      <c r="X62" s="70">
        <f t="shared" si="11"/>
        <v>0</v>
      </c>
      <c r="Y62" s="70">
        <f t="shared" si="11"/>
        <v>0</v>
      </c>
      <c r="Z62" s="70">
        <f t="shared" si="11"/>
        <v>200</v>
      </c>
      <c r="AA62" s="70">
        <f t="shared" si="11"/>
        <v>0</v>
      </c>
      <c r="AB62" s="70">
        <f t="shared" si="11"/>
        <v>0</v>
      </c>
      <c r="AC62" s="70">
        <f t="shared" si="11"/>
        <v>0</v>
      </c>
      <c r="AD62" s="70">
        <f t="shared" si="11"/>
        <v>0</v>
      </c>
      <c r="AE62" s="70">
        <f t="shared" si="11"/>
        <v>0</v>
      </c>
      <c r="AF62" s="70">
        <f t="shared" si="11"/>
        <v>200</v>
      </c>
      <c r="AG62" s="70">
        <f t="shared" si="11"/>
        <v>0</v>
      </c>
    </row>
    <row r="63" spans="1:33" s="69" customFormat="1" x14ac:dyDescent="0.3">
      <c r="A63" s="64" t="s">
        <v>37</v>
      </c>
      <c r="B63" s="65" t="s">
        <v>184</v>
      </c>
      <c r="C63" s="50" t="s">
        <v>370</v>
      </c>
      <c r="D63" s="65" t="s">
        <v>146</v>
      </c>
      <c r="E63" s="66"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>
        <f t="shared" si="10"/>
        <v>0</v>
      </c>
      <c r="Q63" s="66">
        <f t="shared" si="1"/>
        <v>0</v>
      </c>
      <c r="R63" s="67">
        <v>65</v>
      </c>
      <c r="S63" s="68">
        <f t="shared" si="3"/>
        <v>0</v>
      </c>
      <c r="U63" s="66">
        <v>4</v>
      </c>
      <c r="V63" s="69">
        <f t="shared" si="4"/>
        <v>4</v>
      </c>
      <c r="W63" s="70">
        <f t="shared" si="11"/>
        <v>0</v>
      </c>
      <c r="X63" s="70">
        <f t="shared" si="11"/>
        <v>0</v>
      </c>
      <c r="Y63" s="70">
        <f t="shared" si="11"/>
        <v>0</v>
      </c>
      <c r="Z63" s="70">
        <f t="shared" si="11"/>
        <v>0</v>
      </c>
      <c r="AA63" s="70">
        <f t="shared" si="11"/>
        <v>0</v>
      </c>
      <c r="AB63" s="70">
        <f t="shared" si="11"/>
        <v>0</v>
      </c>
      <c r="AC63" s="70">
        <f t="shared" si="11"/>
        <v>0</v>
      </c>
      <c r="AD63" s="70">
        <f t="shared" si="11"/>
        <v>0</v>
      </c>
      <c r="AE63" s="70">
        <f t="shared" si="11"/>
        <v>0</v>
      </c>
      <c r="AF63" s="70">
        <f t="shared" si="11"/>
        <v>0</v>
      </c>
      <c r="AG63" s="70">
        <f t="shared" si="11"/>
        <v>0</v>
      </c>
    </row>
    <row r="64" spans="1:33" s="69" customFormat="1" x14ac:dyDescent="0.3">
      <c r="A64" s="64" t="s">
        <v>36</v>
      </c>
      <c r="B64" s="65" t="s">
        <v>185</v>
      </c>
      <c r="C64" s="65" t="s">
        <v>18</v>
      </c>
      <c r="D64" s="65" t="s">
        <v>147</v>
      </c>
      <c r="E64" s="66">
        <v>5</v>
      </c>
      <c r="F64" s="66"/>
      <c r="G64" s="66"/>
      <c r="H64" s="66"/>
      <c r="I64" s="66"/>
      <c r="J64" s="66">
        <v>1</v>
      </c>
      <c r="K64" s="66"/>
      <c r="L64" s="66">
        <v>1</v>
      </c>
      <c r="M64" s="66"/>
      <c r="N64" s="66">
        <v>1</v>
      </c>
      <c r="O64" s="66">
        <v>1</v>
      </c>
      <c r="P64" s="66">
        <f t="shared" si="10"/>
        <v>4</v>
      </c>
      <c r="Q64" s="66">
        <f t="shared" si="1"/>
        <v>1</v>
      </c>
      <c r="R64" s="67">
        <v>65</v>
      </c>
      <c r="S64" s="68">
        <f t="shared" si="3"/>
        <v>65</v>
      </c>
      <c r="U64" s="66">
        <v>17</v>
      </c>
      <c r="V64" s="69">
        <f t="shared" si="4"/>
        <v>18</v>
      </c>
      <c r="W64" s="70">
        <f t="shared" si="11"/>
        <v>0</v>
      </c>
      <c r="X64" s="70">
        <f t="shared" si="11"/>
        <v>0</v>
      </c>
      <c r="Y64" s="70">
        <f t="shared" si="11"/>
        <v>0</v>
      </c>
      <c r="Z64" s="70">
        <f t="shared" si="11"/>
        <v>65</v>
      </c>
      <c r="AA64" s="70">
        <f t="shared" si="11"/>
        <v>0</v>
      </c>
      <c r="AB64" s="70">
        <f t="shared" si="11"/>
        <v>65</v>
      </c>
      <c r="AC64" s="70">
        <f t="shared" si="11"/>
        <v>0</v>
      </c>
      <c r="AD64" s="70">
        <f t="shared" si="11"/>
        <v>65</v>
      </c>
      <c r="AE64" s="70">
        <f t="shared" si="11"/>
        <v>65</v>
      </c>
      <c r="AF64" s="70">
        <f t="shared" si="11"/>
        <v>260</v>
      </c>
      <c r="AG64" s="70">
        <f t="shared" si="11"/>
        <v>65</v>
      </c>
    </row>
    <row r="65" spans="1:33" s="69" customFormat="1" x14ac:dyDescent="0.3">
      <c r="A65" s="64" t="s">
        <v>36</v>
      </c>
      <c r="B65" s="65" t="s">
        <v>186</v>
      </c>
      <c r="C65" s="65" t="s">
        <v>18</v>
      </c>
      <c r="D65" s="65" t="s">
        <v>9</v>
      </c>
      <c r="E65" s="66">
        <v>9</v>
      </c>
      <c r="F65" s="66"/>
      <c r="G65" s="66"/>
      <c r="H65" s="66"/>
      <c r="I65" s="66"/>
      <c r="J65" s="66">
        <v>1</v>
      </c>
      <c r="K65" s="66"/>
      <c r="L65" s="66"/>
      <c r="M65" s="66"/>
      <c r="N65" s="66"/>
      <c r="O65" s="66"/>
      <c r="P65" s="66">
        <f t="shared" si="10"/>
        <v>1</v>
      </c>
      <c r="Q65" s="66">
        <f t="shared" si="1"/>
        <v>8</v>
      </c>
      <c r="R65" s="67">
        <v>15</v>
      </c>
      <c r="S65" s="68">
        <f t="shared" si="3"/>
        <v>120</v>
      </c>
      <c r="U65" s="66">
        <v>25</v>
      </c>
      <c r="V65" s="69">
        <f t="shared" si="4"/>
        <v>33</v>
      </c>
      <c r="W65" s="70">
        <f t="shared" si="11"/>
        <v>0</v>
      </c>
      <c r="X65" s="70">
        <f t="shared" si="11"/>
        <v>0</v>
      </c>
      <c r="Y65" s="70">
        <f t="shared" si="11"/>
        <v>0</v>
      </c>
      <c r="Z65" s="70">
        <f t="shared" si="11"/>
        <v>15</v>
      </c>
      <c r="AA65" s="70">
        <f t="shared" si="11"/>
        <v>0</v>
      </c>
      <c r="AB65" s="70">
        <f t="shared" si="11"/>
        <v>0</v>
      </c>
      <c r="AC65" s="70">
        <f t="shared" si="11"/>
        <v>0</v>
      </c>
      <c r="AD65" s="70">
        <f t="shared" si="11"/>
        <v>0</v>
      </c>
      <c r="AE65" s="70">
        <f t="shared" si="11"/>
        <v>0</v>
      </c>
      <c r="AF65" s="70">
        <f t="shared" si="11"/>
        <v>15</v>
      </c>
      <c r="AG65" s="70">
        <f t="shared" si="11"/>
        <v>120</v>
      </c>
    </row>
    <row r="66" spans="1:33" s="69" customFormat="1" x14ac:dyDescent="0.3">
      <c r="A66" s="64" t="s">
        <v>37</v>
      </c>
      <c r="B66" s="65" t="s">
        <v>187</v>
      </c>
      <c r="C66" s="50" t="s">
        <v>370</v>
      </c>
      <c r="D66" s="65" t="s">
        <v>67</v>
      </c>
      <c r="E66" s="66">
        <v>0</v>
      </c>
      <c r="F66" s="66">
        <v>10</v>
      </c>
      <c r="G66" s="66">
        <v>1</v>
      </c>
      <c r="H66" s="66"/>
      <c r="I66" s="66"/>
      <c r="J66" s="66"/>
      <c r="K66" s="66"/>
      <c r="L66" s="66"/>
      <c r="M66" s="66"/>
      <c r="N66" s="66"/>
      <c r="O66" s="66"/>
      <c r="P66" s="66">
        <f t="shared" si="10"/>
        <v>1</v>
      </c>
      <c r="Q66" s="66">
        <f t="shared" si="1"/>
        <v>9</v>
      </c>
      <c r="R66" s="67">
        <v>125</v>
      </c>
      <c r="S66" s="68">
        <f t="shared" si="3"/>
        <v>1125</v>
      </c>
      <c r="U66" s="66">
        <v>0</v>
      </c>
      <c r="V66" s="69">
        <f t="shared" si="4"/>
        <v>9</v>
      </c>
      <c r="W66" s="70">
        <f t="shared" si="11"/>
        <v>125</v>
      </c>
      <c r="X66" s="70">
        <f t="shared" si="11"/>
        <v>0</v>
      </c>
      <c r="Y66" s="70">
        <f t="shared" si="11"/>
        <v>0</v>
      </c>
      <c r="Z66" s="70">
        <f t="shared" si="11"/>
        <v>0</v>
      </c>
      <c r="AA66" s="70">
        <f t="shared" si="11"/>
        <v>0</v>
      </c>
      <c r="AB66" s="70">
        <f t="shared" si="11"/>
        <v>0</v>
      </c>
      <c r="AC66" s="70">
        <f t="shared" si="11"/>
        <v>0</v>
      </c>
      <c r="AD66" s="70">
        <f t="shared" si="11"/>
        <v>0</v>
      </c>
      <c r="AE66" s="70">
        <f t="shared" si="11"/>
        <v>0</v>
      </c>
      <c r="AF66" s="70">
        <f t="shared" si="11"/>
        <v>125</v>
      </c>
      <c r="AG66" s="70">
        <f t="shared" si="11"/>
        <v>1125</v>
      </c>
    </row>
    <row r="67" spans="1:33" s="69" customFormat="1" x14ac:dyDescent="0.3">
      <c r="A67" s="64" t="s">
        <v>37</v>
      </c>
      <c r="B67" s="65" t="s">
        <v>188</v>
      </c>
      <c r="C67" s="50" t="s">
        <v>370</v>
      </c>
      <c r="D67" s="65" t="s">
        <v>68</v>
      </c>
      <c r="E67" s="66">
        <v>0</v>
      </c>
      <c r="F67" s="66">
        <v>1</v>
      </c>
      <c r="G67" s="66">
        <v>1</v>
      </c>
      <c r="H67" s="66"/>
      <c r="I67" s="66"/>
      <c r="J67" s="66"/>
      <c r="K67" s="66"/>
      <c r="L67" s="66"/>
      <c r="M67" s="66"/>
      <c r="N67" s="66"/>
      <c r="O67" s="66"/>
      <c r="P67" s="66">
        <f t="shared" si="10"/>
        <v>1</v>
      </c>
      <c r="Q67" s="66">
        <f t="shared" si="1"/>
        <v>0</v>
      </c>
      <c r="R67" s="67">
        <v>1800</v>
      </c>
      <c r="S67" s="68">
        <f t="shared" si="3"/>
        <v>0</v>
      </c>
      <c r="U67" s="66">
        <v>0</v>
      </c>
      <c r="V67" s="69">
        <f t="shared" si="4"/>
        <v>0</v>
      </c>
      <c r="W67" s="70">
        <f t="shared" si="11"/>
        <v>1800</v>
      </c>
      <c r="X67" s="70">
        <f t="shared" si="11"/>
        <v>0</v>
      </c>
      <c r="Y67" s="70">
        <f t="shared" si="11"/>
        <v>0</v>
      </c>
      <c r="Z67" s="70">
        <f t="shared" si="11"/>
        <v>0</v>
      </c>
      <c r="AA67" s="70">
        <f t="shared" si="11"/>
        <v>0</v>
      </c>
      <c r="AB67" s="70">
        <f t="shared" si="11"/>
        <v>0</v>
      </c>
      <c r="AC67" s="70">
        <f t="shared" si="11"/>
        <v>0</v>
      </c>
      <c r="AD67" s="70">
        <f t="shared" si="11"/>
        <v>0</v>
      </c>
      <c r="AE67" s="70">
        <f t="shared" si="11"/>
        <v>0</v>
      </c>
      <c r="AF67" s="70">
        <f t="shared" si="11"/>
        <v>1800</v>
      </c>
      <c r="AG67" s="70">
        <f t="shared" si="11"/>
        <v>0</v>
      </c>
    </row>
    <row r="68" spans="1:33" s="69" customFormat="1" x14ac:dyDescent="0.3">
      <c r="A68" s="64" t="s">
        <v>36</v>
      </c>
      <c r="B68" s="65" t="s">
        <v>90</v>
      </c>
      <c r="C68" s="65" t="s">
        <v>22</v>
      </c>
      <c r="D68" s="65" t="s">
        <v>195</v>
      </c>
      <c r="E68" s="66">
        <v>0</v>
      </c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>
        <f t="shared" si="10"/>
        <v>0</v>
      </c>
      <c r="Q68" s="66">
        <f t="shared" si="1"/>
        <v>0</v>
      </c>
      <c r="R68" s="67">
        <v>30</v>
      </c>
      <c r="S68" s="68">
        <f t="shared" si="3"/>
        <v>0</v>
      </c>
      <c r="U68" s="66"/>
      <c r="V68" s="69">
        <f t="shared" si="4"/>
        <v>0</v>
      </c>
      <c r="W68" s="70">
        <f t="shared" si="11"/>
        <v>0</v>
      </c>
      <c r="X68" s="70">
        <f t="shared" si="11"/>
        <v>0</v>
      </c>
      <c r="Y68" s="70">
        <f t="shared" si="11"/>
        <v>0</v>
      </c>
      <c r="Z68" s="70">
        <f t="shared" si="11"/>
        <v>0</v>
      </c>
      <c r="AA68" s="70">
        <f t="shared" si="11"/>
        <v>0</v>
      </c>
      <c r="AB68" s="70">
        <f t="shared" si="11"/>
        <v>0</v>
      </c>
      <c r="AC68" s="70">
        <f t="shared" si="11"/>
        <v>0</v>
      </c>
      <c r="AD68" s="70">
        <f t="shared" si="11"/>
        <v>0</v>
      </c>
      <c r="AE68" s="70">
        <f t="shared" si="11"/>
        <v>0</v>
      </c>
      <c r="AF68" s="70">
        <f t="shared" si="11"/>
        <v>0</v>
      </c>
      <c r="AG68" s="70">
        <f t="shared" si="11"/>
        <v>0</v>
      </c>
    </row>
    <row r="69" spans="1:33" s="69" customFormat="1" x14ac:dyDescent="0.3">
      <c r="A69" s="64" t="s">
        <v>36</v>
      </c>
      <c r="B69" s="65" t="s">
        <v>189</v>
      </c>
      <c r="C69" s="65" t="s">
        <v>22</v>
      </c>
      <c r="D69" s="65" t="s">
        <v>196</v>
      </c>
      <c r="E69" s="66">
        <v>0</v>
      </c>
      <c r="F69" s="66">
        <v>5</v>
      </c>
      <c r="G69" s="66"/>
      <c r="H69" s="66"/>
      <c r="I69" s="66">
        <v>1</v>
      </c>
      <c r="J69" s="66"/>
      <c r="K69" s="66"/>
      <c r="L69" s="66"/>
      <c r="M69" s="66"/>
      <c r="N69" s="66"/>
      <c r="O69" s="66"/>
      <c r="P69" s="66">
        <f t="shared" si="10"/>
        <v>1</v>
      </c>
      <c r="Q69" s="66">
        <f t="shared" si="1"/>
        <v>4</v>
      </c>
      <c r="R69" s="67">
        <v>40</v>
      </c>
      <c r="S69" s="68">
        <f t="shared" si="3"/>
        <v>160</v>
      </c>
      <c r="U69" s="66"/>
      <c r="V69" s="69">
        <f t="shared" si="4"/>
        <v>4</v>
      </c>
      <c r="W69" s="70">
        <f t="shared" si="11"/>
        <v>0</v>
      </c>
      <c r="X69" s="70">
        <f t="shared" si="11"/>
        <v>0</v>
      </c>
      <c r="Y69" s="70">
        <f t="shared" si="11"/>
        <v>40</v>
      </c>
      <c r="Z69" s="70">
        <f t="shared" si="11"/>
        <v>0</v>
      </c>
      <c r="AA69" s="70">
        <f t="shared" si="11"/>
        <v>0</v>
      </c>
      <c r="AB69" s="70">
        <f t="shared" si="11"/>
        <v>0</v>
      </c>
      <c r="AC69" s="70">
        <f t="shared" si="11"/>
        <v>0</v>
      </c>
      <c r="AD69" s="70">
        <f t="shared" si="11"/>
        <v>0</v>
      </c>
      <c r="AE69" s="70">
        <f t="shared" si="11"/>
        <v>0</v>
      </c>
      <c r="AF69" s="70">
        <f t="shared" si="11"/>
        <v>40</v>
      </c>
      <c r="AG69" s="70">
        <f t="shared" si="11"/>
        <v>160</v>
      </c>
    </row>
    <row r="70" spans="1:33" s="69" customFormat="1" x14ac:dyDescent="0.3">
      <c r="A70" s="64" t="s">
        <v>36</v>
      </c>
      <c r="B70" s="65" t="s">
        <v>190</v>
      </c>
      <c r="C70" s="65" t="s">
        <v>22</v>
      </c>
      <c r="D70" s="65" t="s">
        <v>197</v>
      </c>
      <c r="E70" s="66">
        <v>3</v>
      </c>
      <c r="F70" s="66"/>
      <c r="G70" s="66"/>
      <c r="H70" s="66"/>
      <c r="I70" s="66">
        <v>2</v>
      </c>
      <c r="J70" s="66"/>
      <c r="K70" s="66"/>
      <c r="L70" s="66"/>
      <c r="M70" s="66">
        <v>1</v>
      </c>
      <c r="N70" s="66"/>
      <c r="O70" s="66"/>
      <c r="P70" s="66">
        <f t="shared" si="10"/>
        <v>3</v>
      </c>
      <c r="Q70" s="66">
        <f t="shared" si="1"/>
        <v>0</v>
      </c>
      <c r="R70" s="67">
        <v>60</v>
      </c>
      <c r="S70" s="68">
        <f t="shared" si="3"/>
        <v>0</v>
      </c>
      <c r="U70" s="66"/>
      <c r="V70" s="69">
        <f t="shared" si="4"/>
        <v>0</v>
      </c>
      <c r="W70" s="70">
        <f t="shared" si="11"/>
        <v>0</v>
      </c>
      <c r="X70" s="70">
        <f t="shared" si="11"/>
        <v>0</v>
      </c>
      <c r="Y70" s="70">
        <f t="shared" si="11"/>
        <v>120</v>
      </c>
      <c r="Z70" s="70">
        <f t="shared" si="11"/>
        <v>0</v>
      </c>
      <c r="AA70" s="70">
        <f t="shared" si="11"/>
        <v>0</v>
      </c>
      <c r="AB70" s="70">
        <f t="shared" si="11"/>
        <v>0</v>
      </c>
      <c r="AC70" s="70">
        <f t="shared" si="11"/>
        <v>60</v>
      </c>
      <c r="AD70" s="70">
        <f t="shared" si="11"/>
        <v>0</v>
      </c>
      <c r="AE70" s="70">
        <f t="shared" si="11"/>
        <v>0</v>
      </c>
      <c r="AF70" s="70">
        <f t="shared" si="11"/>
        <v>180</v>
      </c>
      <c r="AG70" s="70">
        <f t="shared" si="11"/>
        <v>0</v>
      </c>
    </row>
    <row r="71" spans="1:33" s="69" customFormat="1" x14ac:dyDescent="0.3">
      <c r="A71" s="64" t="s">
        <v>36</v>
      </c>
      <c r="B71" s="65" t="s">
        <v>191</v>
      </c>
      <c r="C71" s="65" t="s">
        <v>22</v>
      </c>
      <c r="D71" s="65" t="s">
        <v>198</v>
      </c>
      <c r="E71" s="66">
        <v>0</v>
      </c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>
        <f t="shared" si="10"/>
        <v>0</v>
      </c>
      <c r="Q71" s="66">
        <f t="shared" si="1"/>
        <v>0</v>
      </c>
      <c r="R71" s="67">
        <v>40</v>
      </c>
      <c r="S71" s="68">
        <f t="shared" si="3"/>
        <v>0</v>
      </c>
      <c r="U71" s="66"/>
      <c r="V71" s="69">
        <f t="shared" si="4"/>
        <v>0</v>
      </c>
      <c r="W71" s="70">
        <f t="shared" si="11"/>
        <v>0</v>
      </c>
      <c r="X71" s="70">
        <f t="shared" si="11"/>
        <v>0</v>
      </c>
      <c r="Y71" s="70">
        <f t="shared" si="11"/>
        <v>0</v>
      </c>
      <c r="Z71" s="70">
        <f t="shared" si="11"/>
        <v>0</v>
      </c>
      <c r="AA71" s="70">
        <f t="shared" si="11"/>
        <v>0</v>
      </c>
      <c r="AB71" s="70">
        <f t="shared" si="11"/>
        <v>0</v>
      </c>
      <c r="AC71" s="70">
        <f t="shared" si="11"/>
        <v>0</v>
      </c>
      <c r="AD71" s="70">
        <f t="shared" si="11"/>
        <v>0</v>
      </c>
      <c r="AE71" s="70">
        <f t="shared" si="11"/>
        <v>0</v>
      </c>
      <c r="AF71" s="70">
        <f t="shared" si="11"/>
        <v>0</v>
      </c>
      <c r="AG71" s="70">
        <f t="shared" si="11"/>
        <v>0</v>
      </c>
    </row>
    <row r="72" spans="1:33" s="69" customFormat="1" x14ac:dyDescent="0.3">
      <c r="A72" s="64" t="s">
        <v>36</v>
      </c>
      <c r="B72" s="65" t="s">
        <v>192</v>
      </c>
      <c r="C72" s="65" t="s">
        <v>22</v>
      </c>
      <c r="D72" s="65" t="s">
        <v>199</v>
      </c>
      <c r="E72" s="66">
        <v>0</v>
      </c>
      <c r="F72" s="66">
        <v>5</v>
      </c>
      <c r="G72" s="66">
        <v>1</v>
      </c>
      <c r="H72" s="66"/>
      <c r="I72" s="66">
        <v>1</v>
      </c>
      <c r="J72" s="66"/>
      <c r="K72" s="66">
        <v>1</v>
      </c>
      <c r="L72" s="66"/>
      <c r="M72" s="66"/>
      <c r="N72" s="66"/>
      <c r="O72" s="66">
        <v>1</v>
      </c>
      <c r="P72" s="66">
        <f t="shared" si="10"/>
        <v>4</v>
      </c>
      <c r="Q72" s="66">
        <f t="shared" si="1"/>
        <v>1</v>
      </c>
      <c r="R72" s="67">
        <v>60</v>
      </c>
      <c r="S72" s="68">
        <f t="shared" si="3"/>
        <v>60</v>
      </c>
      <c r="U72" s="66"/>
      <c r="V72" s="69">
        <f t="shared" si="4"/>
        <v>1</v>
      </c>
      <c r="W72" s="70">
        <f t="shared" si="11"/>
        <v>60</v>
      </c>
      <c r="X72" s="70">
        <f t="shared" si="11"/>
        <v>0</v>
      </c>
      <c r="Y72" s="70">
        <f t="shared" si="11"/>
        <v>60</v>
      </c>
      <c r="Z72" s="70">
        <f t="shared" si="11"/>
        <v>0</v>
      </c>
      <c r="AA72" s="70">
        <f t="shared" si="11"/>
        <v>60</v>
      </c>
      <c r="AB72" s="70">
        <f t="shared" si="11"/>
        <v>0</v>
      </c>
      <c r="AC72" s="70">
        <f t="shared" si="11"/>
        <v>0</v>
      </c>
      <c r="AD72" s="70">
        <f t="shared" si="11"/>
        <v>0</v>
      </c>
      <c r="AE72" s="70">
        <f t="shared" si="11"/>
        <v>60</v>
      </c>
      <c r="AF72" s="70">
        <f t="shared" si="11"/>
        <v>240</v>
      </c>
      <c r="AG72" s="70">
        <f t="shared" si="11"/>
        <v>60</v>
      </c>
    </row>
    <row r="73" spans="1:33" s="69" customFormat="1" x14ac:dyDescent="0.3">
      <c r="A73" s="64" t="s">
        <v>36</v>
      </c>
      <c r="B73" s="65" t="s">
        <v>193</v>
      </c>
      <c r="C73" s="65" t="s">
        <v>22</v>
      </c>
      <c r="D73" s="65" t="s">
        <v>194</v>
      </c>
      <c r="E73" s="66">
        <v>0</v>
      </c>
      <c r="F73" s="66">
        <v>5</v>
      </c>
      <c r="G73" s="66"/>
      <c r="H73" s="66">
        <v>1</v>
      </c>
      <c r="I73" s="66"/>
      <c r="J73" s="66"/>
      <c r="K73" s="66"/>
      <c r="L73" s="66">
        <v>1</v>
      </c>
      <c r="M73" s="66"/>
      <c r="N73" s="66">
        <v>1</v>
      </c>
      <c r="O73" s="66">
        <v>1</v>
      </c>
      <c r="P73" s="66">
        <f t="shared" si="10"/>
        <v>4</v>
      </c>
      <c r="Q73" s="66">
        <f t="shared" si="1"/>
        <v>1</v>
      </c>
      <c r="R73" s="67">
        <v>60</v>
      </c>
      <c r="S73" s="68">
        <f t="shared" si="3"/>
        <v>60</v>
      </c>
      <c r="U73" s="66"/>
      <c r="V73" s="69">
        <f t="shared" si="4"/>
        <v>1</v>
      </c>
      <c r="W73" s="70">
        <f t="shared" si="11"/>
        <v>0</v>
      </c>
      <c r="X73" s="70">
        <f t="shared" si="11"/>
        <v>60</v>
      </c>
      <c r="Y73" s="70">
        <f t="shared" si="11"/>
        <v>0</v>
      </c>
      <c r="Z73" s="70">
        <f t="shared" si="11"/>
        <v>0</v>
      </c>
      <c r="AA73" s="70">
        <f t="shared" si="11"/>
        <v>0</v>
      </c>
      <c r="AB73" s="70">
        <f t="shared" si="11"/>
        <v>60</v>
      </c>
      <c r="AC73" s="70">
        <f t="shared" si="11"/>
        <v>0</v>
      </c>
      <c r="AD73" s="70">
        <f t="shared" si="11"/>
        <v>60</v>
      </c>
      <c r="AE73" s="70">
        <f t="shared" si="11"/>
        <v>60</v>
      </c>
      <c r="AF73" s="70">
        <f t="shared" si="11"/>
        <v>240</v>
      </c>
      <c r="AG73" s="70">
        <f t="shared" si="11"/>
        <v>60</v>
      </c>
    </row>
    <row r="74" spans="1:33" s="69" customFormat="1" x14ac:dyDescent="0.3">
      <c r="A74" s="64" t="s">
        <v>36</v>
      </c>
      <c r="B74" s="65" t="s">
        <v>203</v>
      </c>
      <c r="C74" s="65" t="s">
        <v>22</v>
      </c>
      <c r="D74" s="65" t="s">
        <v>200</v>
      </c>
      <c r="E74" s="66">
        <v>5</v>
      </c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>
        <f t="shared" si="10"/>
        <v>0</v>
      </c>
      <c r="Q74" s="66">
        <f t="shared" si="1"/>
        <v>5</v>
      </c>
      <c r="R74" s="67">
        <v>40</v>
      </c>
      <c r="S74" s="68">
        <f t="shared" si="3"/>
        <v>200</v>
      </c>
      <c r="U74" s="66"/>
      <c r="V74" s="69">
        <f t="shared" si="4"/>
        <v>5</v>
      </c>
      <c r="W74" s="70">
        <f t="shared" si="11"/>
        <v>0</v>
      </c>
      <c r="X74" s="70">
        <f t="shared" si="11"/>
        <v>0</v>
      </c>
      <c r="Y74" s="70">
        <f t="shared" si="11"/>
        <v>0</v>
      </c>
      <c r="Z74" s="70">
        <f t="shared" si="11"/>
        <v>0</v>
      </c>
      <c r="AA74" s="70">
        <f t="shared" si="11"/>
        <v>0</v>
      </c>
      <c r="AB74" s="70">
        <f t="shared" si="11"/>
        <v>0</v>
      </c>
      <c r="AC74" s="70">
        <f t="shared" si="11"/>
        <v>0</v>
      </c>
      <c r="AD74" s="70">
        <f t="shared" si="11"/>
        <v>0</v>
      </c>
      <c r="AE74" s="70">
        <f t="shared" si="11"/>
        <v>0</v>
      </c>
      <c r="AF74" s="70">
        <f t="shared" si="11"/>
        <v>0</v>
      </c>
      <c r="AG74" s="70">
        <f t="shared" si="11"/>
        <v>200</v>
      </c>
    </row>
    <row r="75" spans="1:33" s="69" customFormat="1" x14ac:dyDescent="0.3">
      <c r="A75" s="64" t="s">
        <v>36</v>
      </c>
      <c r="B75" s="65" t="s">
        <v>204</v>
      </c>
      <c r="C75" s="65" t="s">
        <v>22</v>
      </c>
      <c r="D75" s="65" t="s">
        <v>201</v>
      </c>
      <c r="E75" s="66">
        <v>0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>
        <f t="shared" si="10"/>
        <v>0</v>
      </c>
      <c r="Q75" s="66">
        <f t="shared" si="1"/>
        <v>0</v>
      </c>
      <c r="R75" s="67">
        <v>30</v>
      </c>
      <c r="S75" s="68">
        <f t="shared" si="3"/>
        <v>0</v>
      </c>
      <c r="U75" s="66"/>
      <c r="V75" s="69">
        <f t="shared" si="4"/>
        <v>0</v>
      </c>
      <c r="W75" s="70">
        <f t="shared" ref="W75:AG90" si="12">G75*$R75</f>
        <v>0</v>
      </c>
      <c r="X75" s="70">
        <f t="shared" si="12"/>
        <v>0</v>
      </c>
      <c r="Y75" s="70">
        <f t="shared" si="12"/>
        <v>0</v>
      </c>
      <c r="Z75" s="70">
        <f t="shared" si="12"/>
        <v>0</v>
      </c>
      <c r="AA75" s="70">
        <f t="shared" si="12"/>
        <v>0</v>
      </c>
      <c r="AB75" s="70">
        <f t="shared" si="12"/>
        <v>0</v>
      </c>
      <c r="AC75" s="70">
        <f t="shared" si="12"/>
        <v>0</v>
      </c>
      <c r="AD75" s="70">
        <f t="shared" si="12"/>
        <v>0</v>
      </c>
      <c r="AE75" s="70">
        <f t="shared" si="12"/>
        <v>0</v>
      </c>
      <c r="AF75" s="70">
        <f t="shared" si="12"/>
        <v>0</v>
      </c>
      <c r="AG75" s="70">
        <f t="shared" si="12"/>
        <v>0</v>
      </c>
    </row>
    <row r="76" spans="1:33" s="69" customFormat="1" x14ac:dyDescent="0.3">
      <c r="A76" s="64" t="s">
        <v>36</v>
      </c>
      <c r="B76" s="65" t="s">
        <v>205</v>
      </c>
      <c r="C76" s="65" t="s">
        <v>22</v>
      </c>
      <c r="D76" s="65" t="s">
        <v>202</v>
      </c>
      <c r="E76" s="66">
        <v>0</v>
      </c>
      <c r="F76" s="66">
        <v>5</v>
      </c>
      <c r="G76" s="66"/>
      <c r="H76" s="66"/>
      <c r="I76" s="66"/>
      <c r="J76" s="66"/>
      <c r="K76" s="66"/>
      <c r="L76" s="66"/>
      <c r="M76" s="66"/>
      <c r="N76" s="66"/>
      <c r="O76" s="66"/>
      <c r="P76" s="66">
        <f t="shared" si="10"/>
        <v>0</v>
      </c>
      <c r="Q76" s="66">
        <f t="shared" si="1"/>
        <v>5</v>
      </c>
      <c r="R76" s="67">
        <v>85</v>
      </c>
      <c r="S76" s="68">
        <f t="shared" si="3"/>
        <v>425</v>
      </c>
      <c r="U76" s="66"/>
      <c r="V76" s="69">
        <f t="shared" si="4"/>
        <v>5</v>
      </c>
      <c r="W76" s="70">
        <f t="shared" si="12"/>
        <v>0</v>
      </c>
      <c r="X76" s="70">
        <f t="shared" si="12"/>
        <v>0</v>
      </c>
      <c r="Y76" s="70">
        <f t="shared" si="12"/>
        <v>0</v>
      </c>
      <c r="Z76" s="70">
        <f t="shared" si="12"/>
        <v>0</v>
      </c>
      <c r="AA76" s="70">
        <f t="shared" si="12"/>
        <v>0</v>
      </c>
      <c r="AB76" s="70">
        <f t="shared" si="12"/>
        <v>0</v>
      </c>
      <c r="AC76" s="70">
        <f t="shared" si="12"/>
        <v>0</v>
      </c>
      <c r="AD76" s="70">
        <f t="shared" si="12"/>
        <v>0</v>
      </c>
      <c r="AE76" s="70">
        <f t="shared" si="12"/>
        <v>0</v>
      </c>
      <c r="AF76" s="70">
        <f t="shared" si="12"/>
        <v>0</v>
      </c>
      <c r="AG76" s="70">
        <f t="shared" si="12"/>
        <v>425</v>
      </c>
    </row>
    <row r="77" spans="1:33" s="76" customFormat="1" x14ac:dyDescent="0.3">
      <c r="A77" s="71" t="s">
        <v>36</v>
      </c>
      <c r="B77" s="72" t="s">
        <v>73</v>
      </c>
      <c r="C77" s="50" t="s">
        <v>370</v>
      </c>
      <c r="D77" s="72" t="s">
        <v>220</v>
      </c>
      <c r="E77" s="73">
        <v>75</v>
      </c>
      <c r="F77" s="73"/>
      <c r="G77" s="73">
        <v>2</v>
      </c>
      <c r="H77" s="73"/>
      <c r="I77" s="73">
        <v>2</v>
      </c>
      <c r="J77" s="73"/>
      <c r="K77" s="73">
        <v>2</v>
      </c>
      <c r="L77" s="73"/>
      <c r="M77" s="73">
        <v>2</v>
      </c>
      <c r="N77" s="73"/>
      <c r="O77" s="73"/>
      <c r="P77" s="73">
        <f t="shared" si="0"/>
        <v>8</v>
      </c>
      <c r="Q77" s="73">
        <f t="shared" si="1"/>
        <v>67</v>
      </c>
      <c r="R77" s="74">
        <v>6</v>
      </c>
      <c r="S77" s="75">
        <f t="shared" si="3"/>
        <v>402</v>
      </c>
      <c r="V77" s="76">
        <f t="shared" si="4"/>
        <v>67</v>
      </c>
      <c r="W77" s="77">
        <f t="shared" si="12"/>
        <v>12</v>
      </c>
      <c r="X77" s="77">
        <f t="shared" si="12"/>
        <v>0</v>
      </c>
      <c r="Y77" s="77">
        <f t="shared" si="12"/>
        <v>12</v>
      </c>
      <c r="Z77" s="77">
        <f t="shared" si="12"/>
        <v>0</v>
      </c>
      <c r="AA77" s="77">
        <f t="shared" si="12"/>
        <v>12</v>
      </c>
      <c r="AB77" s="77">
        <f t="shared" si="12"/>
        <v>0</v>
      </c>
      <c r="AC77" s="77">
        <f t="shared" si="12"/>
        <v>12</v>
      </c>
      <c r="AD77" s="77">
        <f t="shared" si="12"/>
        <v>0</v>
      </c>
      <c r="AE77" s="77">
        <f t="shared" si="12"/>
        <v>0</v>
      </c>
      <c r="AF77" s="77">
        <f t="shared" si="12"/>
        <v>48</v>
      </c>
      <c r="AG77" s="77">
        <f t="shared" si="12"/>
        <v>402</v>
      </c>
    </row>
    <row r="78" spans="1:33" s="76" customFormat="1" x14ac:dyDescent="0.3">
      <c r="A78" s="71" t="s">
        <v>36</v>
      </c>
      <c r="B78" s="72" t="s">
        <v>206</v>
      </c>
      <c r="C78" s="50" t="s">
        <v>370</v>
      </c>
      <c r="D78" s="72" t="s">
        <v>221</v>
      </c>
      <c r="E78" s="73">
        <v>14</v>
      </c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>
        <f t="shared" si="0"/>
        <v>0</v>
      </c>
      <c r="Q78" s="73">
        <f t="shared" si="1"/>
        <v>14</v>
      </c>
      <c r="R78" s="74">
        <v>5</v>
      </c>
      <c r="S78" s="75">
        <f t="shared" si="3"/>
        <v>70</v>
      </c>
      <c r="V78" s="76">
        <f t="shared" si="4"/>
        <v>14</v>
      </c>
      <c r="W78" s="77">
        <f t="shared" si="12"/>
        <v>0</v>
      </c>
      <c r="X78" s="77">
        <f t="shared" si="12"/>
        <v>0</v>
      </c>
      <c r="Y78" s="77">
        <f t="shared" si="12"/>
        <v>0</v>
      </c>
      <c r="Z78" s="77">
        <f t="shared" si="12"/>
        <v>0</v>
      </c>
      <c r="AA78" s="77">
        <f t="shared" si="12"/>
        <v>0</v>
      </c>
      <c r="AB78" s="77">
        <f t="shared" si="12"/>
        <v>0</v>
      </c>
      <c r="AC78" s="77">
        <f t="shared" si="12"/>
        <v>0</v>
      </c>
      <c r="AD78" s="77">
        <f t="shared" si="12"/>
        <v>0</v>
      </c>
      <c r="AE78" s="77">
        <f t="shared" si="12"/>
        <v>0</v>
      </c>
      <c r="AF78" s="77">
        <f t="shared" si="12"/>
        <v>0</v>
      </c>
      <c r="AG78" s="77">
        <f t="shared" si="12"/>
        <v>70</v>
      </c>
    </row>
    <row r="79" spans="1:33" s="76" customFormat="1" x14ac:dyDescent="0.3">
      <c r="A79" s="71" t="s">
        <v>36</v>
      </c>
      <c r="B79" s="72" t="s">
        <v>207</v>
      </c>
      <c r="C79" s="50" t="s">
        <v>370</v>
      </c>
      <c r="D79" s="72" t="s">
        <v>222</v>
      </c>
      <c r="E79" s="73">
        <v>0</v>
      </c>
      <c r="F79" s="73">
        <v>100</v>
      </c>
      <c r="G79" s="73">
        <v>12</v>
      </c>
      <c r="H79" s="73">
        <v>4</v>
      </c>
      <c r="I79" s="73"/>
      <c r="J79" s="73"/>
      <c r="K79" s="73">
        <v>1</v>
      </c>
      <c r="L79" s="73"/>
      <c r="M79" s="73"/>
      <c r="N79" s="73"/>
      <c r="O79" s="73"/>
      <c r="P79" s="73">
        <f t="shared" si="0"/>
        <v>17</v>
      </c>
      <c r="Q79" s="73">
        <f t="shared" si="1"/>
        <v>83</v>
      </c>
      <c r="R79" s="74">
        <v>25</v>
      </c>
      <c r="S79" s="75">
        <f t="shared" si="3"/>
        <v>2075</v>
      </c>
      <c r="V79" s="76">
        <f t="shared" si="4"/>
        <v>83</v>
      </c>
      <c r="W79" s="77">
        <f t="shared" si="12"/>
        <v>300</v>
      </c>
      <c r="X79" s="77">
        <f t="shared" si="12"/>
        <v>100</v>
      </c>
      <c r="Y79" s="77">
        <f t="shared" si="12"/>
        <v>0</v>
      </c>
      <c r="Z79" s="77">
        <f t="shared" si="12"/>
        <v>0</v>
      </c>
      <c r="AA79" s="77">
        <f t="shared" si="12"/>
        <v>25</v>
      </c>
      <c r="AB79" s="77">
        <f t="shared" si="12"/>
        <v>0</v>
      </c>
      <c r="AC79" s="77">
        <f t="shared" si="12"/>
        <v>0</v>
      </c>
      <c r="AD79" s="77">
        <f t="shared" si="12"/>
        <v>0</v>
      </c>
      <c r="AE79" s="77">
        <f t="shared" si="12"/>
        <v>0</v>
      </c>
      <c r="AF79" s="77">
        <f t="shared" si="12"/>
        <v>425</v>
      </c>
      <c r="AG79" s="77">
        <f t="shared" si="12"/>
        <v>2075</v>
      </c>
    </row>
    <row r="80" spans="1:33" s="76" customFormat="1" x14ac:dyDescent="0.3">
      <c r="A80" s="71" t="s">
        <v>36</v>
      </c>
      <c r="B80" s="72" t="s">
        <v>208</v>
      </c>
      <c r="C80" s="72" t="s">
        <v>18</v>
      </c>
      <c r="D80" s="72" t="s">
        <v>223</v>
      </c>
      <c r="E80" s="73">
        <v>1</v>
      </c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>
        <f t="shared" si="0"/>
        <v>0</v>
      </c>
      <c r="Q80" s="73">
        <f t="shared" si="1"/>
        <v>1</v>
      </c>
      <c r="R80" s="74">
        <v>190</v>
      </c>
      <c r="S80" s="75">
        <f t="shared" si="3"/>
        <v>190</v>
      </c>
      <c r="U80" s="76">
        <v>1</v>
      </c>
      <c r="V80" s="76">
        <f t="shared" si="4"/>
        <v>2</v>
      </c>
      <c r="W80" s="77">
        <f t="shared" si="12"/>
        <v>0</v>
      </c>
      <c r="X80" s="77">
        <f t="shared" si="12"/>
        <v>0</v>
      </c>
      <c r="Y80" s="77">
        <f t="shared" si="12"/>
        <v>0</v>
      </c>
      <c r="Z80" s="77">
        <f t="shared" si="12"/>
        <v>0</v>
      </c>
      <c r="AA80" s="77">
        <f t="shared" si="12"/>
        <v>0</v>
      </c>
      <c r="AB80" s="77">
        <f t="shared" si="12"/>
        <v>0</v>
      </c>
      <c r="AC80" s="77">
        <f t="shared" si="12"/>
        <v>0</v>
      </c>
      <c r="AD80" s="77">
        <f t="shared" si="12"/>
        <v>0</v>
      </c>
      <c r="AE80" s="77">
        <f t="shared" si="12"/>
        <v>0</v>
      </c>
      <c r="AF80" s="77">
        <f t="shared" si="12"/>
        <v>0</v>
      </c>
      <c r="AG80" s="77">
        <f t="shared" si="12"/>
        <v>190</v>
      </c>
    </row>
    <row r="81" spans="1:33" s="76" customFormat="1" x14ac:dyDescent="0.3">
      <c r="A81" s="71" t="s">
        <v>36</v>
      </c>
      <c r="B81" s="72" t="s">
        <v>209</v>
      </c>
      <c r="C81" s="72" t="s">
        <v>18</v>
      </c>
      <c r="D81" s="72" t="s">
        <v>224</v>
      </c>
      <c r="E81" s="73">
        <v>0</v>
      </c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>
        <f t="shared" si="0"/>
        <v>0</v>
      </c>
      <c r="Q81" s="73">
        <f t="shared" si="1"/>
        <v>0</v>
      </c>
      <c r="R81" s="74">
        <v>178</v>
      </c>
      <c r="S81" s="75">
        <f t="shared" si="3"/>
        <v>0</v>
      </c>
      <c r="U81" s="76">
        <v>0</v>
      </c>
      <c r="V81" s="76">
        <f t="shared" si="4"/>
        <v>0</v>
      </c>
      <c r="W81" s="77">
        <f t="shared" si="12"/>
        <v>0</v>
      </c>
      <c r="X81" s="77">
        <f t="shared" si="12"/>
        <v>0</v>
      </c>
      <c r="Y81" s="77">
        <f t="shared" si="12"/>
        <v>0</v>
      </c>
      <c r="Z81" s="77">
        <f t="shared" si="12"/>
        <v>0</v>
      </c>
      <c r="AA81" s="77">
        <f t="shared" si="12"/>
        <v>0</v>
      </c>
      <c r="AB81" s="77">
        <f t="shared" si="12"/>
        <v>0</v>
      </c>
      <c r="AC81" s="77">
        <f t="shared" si="12"/>
        <v>0</v>
      </c>
      <c r="AD81" s="77">
        <f t="shared" si="12"/>
        <v>0</v>
      </c>
      <c r="AE81" s="77">
        <f t="shared" si="12"/>
        <v>0</v>
      </c>
      <c r="AF81" s="77">
        <f t="shared" si="12"/>
        <v>0</v>
      </c>
      <c r="AG81" s="77">
        <f t="shared" si="12"/>
        <v>0</v>
      </c>
    </row>
    <row r="82" spans="1:33" s="76" customFormat="1" x14ac:dyDescent="0.3">
      <c r="A82" s="71" t="s">
        <v>36</v>
      </c>
      <c r="B82" s="72" t="s">
        <v>210</v>
      </c>
      <c r="C82" s="50" t="s">
        <v>370</v>
      </c>
      <c r="D82" s="72" t="s">
        <v>226</v>
      </c>
      <c r="E82" s="73">
        <v>12</v>
      </c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>
        <f t="shared" si="0"/>
        <v>0</v>
      </c>
      <c r="Q82" s="73">
        <f t="shared" si="1"/>
        <v>12</v>
      </c>
      <c r="R82" s="74">
        <v>50</v>
      </c>
      <c r="S82" s="75">
        <f t="shared" si="3"/>
        <v>600</v>
      </c>
      <c r="U82" s="76">
        <v>5</v>
      </c>
      <c r="V82" s="76">
        <f t="shared" si="4"/>
        <v>17</v>
      </c>
      <c r="W82" s="77">
        <f t="shared" si="12"/>
        <v>0</v>
      </c>
      <c r="X82" s="77">
        <f t="shared" si="12"/>
        <v>0</v>
      </c>
      <c r="Y82" s="77">
        <f t="shared" si="12"/>
        <v>0</v>
      </c>
      <c r="Z82" s="77">
        <f t="shared" si="12"/>
        <v>0</v>
      </c>
      <c r="AA82" s="77">
        <f t="shared" si="12"/>
        <v>0</v>
      </c>
      <c r="AB82" s="77">
        <f t="shared" si="12"/>
        <v>0</v>
      </c>
      <c r="AC82" s="77">
        <f t="shared" si="12"/>
        <v>0</v>
      </c>
      <c r="AD82" s="77">
        <f t="shared" si="12"/>
        <v>0</v>
      </c>
      <c r="AE82" s="77">
        <f t="shared" si="12"/>
        <v>0</v>
      </c>
      <c r="AF82" s="77">
        <f t="shared" si="12"/>
        <v>0</v>
      </c>
      <c r="AG82" s="77">
        <f t="shared" si="12"/>
        <v>600</v>
      </c>
    </row>
    <row r="83" spans="1:33" s="76" customFormat="1" x14ac:dyDescent="0.3">
      <c r="A83" s="71" t="s">
        <v>36</v>
      </c>
      <c r="B83" s="72" t="s">
        <v>211</v>
      </c>
      <c r="C83" s="50" t="s">
        <v>370</v>
      </c>
      <c r="D83" s="72" t="s">
        <v>225</v>
      </c>
      <c r="E83" s="73">
        <v>0</v>
      </c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>
        <f t="shared" si="0"/>
        <v>0</v>
      </c>
      <c r="Q83" s="73">
        <f t="shared" si="1"/>
        <v>0</v>
      </c>
      <c r="R83" s="74">
        <v>50</v>
      </c>
      <c r="S83" s="75">
        <f t="shared" si="3"/>
        <v>0</v>
      </c>
      <c r="V83" s="76">
        <f t="shared" si="4"/>
        <v>0</v>
      </c>
      <c r="W83" s="77">
        <f t="shared" si="12"/>
        <v>0</v>
      </c>
      <c r="X83" s="77">
        <f t="shared" si="12"/>
        <v>0</v>
      </c>
      <c r="Y83" s="77">
        <f t="shared" si="12"/>
        <v>0</v>
      </c>
      <c r="Z83" s="77">
        <f t="shared" si="12"/>
        <v>0</v>
      </c>
      <c r="AA83" s="77">
        <f t="shared" si="12"/>
        <v>0</v>
      </c>
      <c r="AB83" s="77">
        <f t="shared" si="12"/>
        <v>0</v>
      </c>
      <c r="AC83" s="77">
        <f t="shared" si="12"/>
        <v>0</v>
      </c>
      <c r="AD83" s="77">
        <f t="shared" si="12"/>
        <v>0</v>
      </c>
      <c r="AE83" s="77">
        <f t="shared" si="12"/>
        <v>0</v>
      </c>
      <c r="AF83" s="77">
        <f t="shared" si="12"/>
        <v>0</v>
      </c>
      <c r="AG83" s="77">
        <f t="shared" si="12"/>
        <v>0</v>
      </c>
    </row>
    <row r="84" spans="1:33" s="76" customFormat="1" x14ac:dyDescent="0.3">
      <c r="A84" s="71" t="s">
        <v>36</v>
      </c>
      <c r="B84" s="72" t="s">
        <v>212</v>
      </c>
      <c r="C84" s="50" t="s">
        <v>370</v>
      </c>
      <c r="D84" s="72" t="s">
        <v>227</v>
      </c>
      <c r="E84" s="73">
        <v>30</v>
      </c>
      <c r="F84" s="73"/>
      <c r="G84" s="73">
        <v>1</v>
      </c>
      <c r="H84" s="73">
        <v>1</v>
      </c>
      <c r="I84" s="73">
        <v>1</v>
      </c>
      <c r="J84" s="73"/>
      <c r="K84" s="73"/>
      <c r="L84" s="73"/>
      <c r="M84" s="73"/>
      <c r="N84" s="73"/>
      <c r="O84" s="73"/>
      <c r="P84" s="73">
        <f t="shared" si="0"/>
        <v>3</v>
      </c>
      <c r="Q84" s="73">
        <f t="shared" si="1"/>
        <v>27</v>
      </c>
      <c r="R84" s="74">
        <v>50</v>
      </c>
      <c r="S84" s="75">
        <f t="shared" si="3"/>
        <v>1350</v>
      </c>
      <c r="U84" s="76">
        <v>0</v>
      </c>
      <c r="V84" s="76">
        <f t="shared" si="4"/>
        <v>27</v>
      </c>
      <c r="W84" s="77">
        <f t="shared" si="12"/>
        <v>50</v>
      </c>
      <c r="X84" s="77">
        <f t="shared" si="12"/>
        <v>50</v>
      </c>
      <c r="Y84" s="77">
        <f t="shared" si="12"/>
        <v>50</v>
      </c>
      <c r="Z84" s="77">
        <f t="shared" si="12"/>
        <v>0</v>
      </c>
      <c r="AA84" s="77">
        <f t="shared" si="12"/>
        <v>0</v>
      </c>
      <c r="AB84" s="77">
        <f t="shared" si="12"/>
        <v>0</v>
      </c>
      <c r="AC84" s="77">
        <f t="shared" si="12"/>
        <v>0</v>
      </c>
      <c r="AD84" s="77">
        <f t="shared" si="12"/>
        <v>0</v>
      </c>
      <c r="AE84" s="77">
        <f t="shared" si="12"/>
        <v>0</v>
      </c>
      <c r="AF84" s="77">
        <f t="shared" si="12"/>
        <v>150</v>
      </c>
      <c r="AG84" s="77">
        <f t="shared" si="12"/>
        <v>1350</v>
      </c>
    </row>
    <row r="85" spans="1:33" s="76" customFormat="1" x14ac:dyDescent="0.3">
      <c r="A85" s="71" t="s">
        <v>36</v>
      </c>
      <c r="B85" s="72" t="s">
        <v>74</v>
      </c>
      <c r="C85" s="50" t="s">
        <v>370</v>
      </c>
      <c r="D85" s="72" t="s">
        <v>229</v>
      </c>
      <c r="E85" s="73">
        <v>75</v>
      </c>
      <c r="F85" s="73">
        <v>300</v>
      </c>
      <c r="G85" s="73">
        <v>15</v>
      </c>
      <c r="H85" s="73">
        <v>11</v>
      </c>
      <c r="I85" s="73">
        <v>3</v>
      </c>
      <c r="J85" s="73">
        <v>15</v>
      </c>
      <c r="K85" s="73">
        <v>3</v>
      </c>
      <c r="L85" s="73">
        <v>20</v>
      </c>
      <c r="M85" s="73">
        <v>11</v>
      </c>
      <c r="N85" s="73"/>
      <c r="O85" s="73">
        <v>16</v>
      </c>
      <c r="P85" s="73">
        <f t="shared" si="0"/>
        <v>94</v>
      </c>
      <c r="Q85" s="73">
        <f t="shared" si="1"/>
        <v>281</v>
      </c>
      <c r="R85" s="74">
        <v>10</v>
      </c>
      <c r="S85" s="75">
        <f t="shared" si="3"/>
        <v>2810</v>
      </c>
      <c r="U85" s="73">
        <v>80</v>
      </c>
      <c r="V85" s="76">
        <f t="shared" si="4"/>
        <v>361</v>
      </c>
      <c r="W85" s="77">
        <f t="shared" si="12"/>
        <v>150</v>
      </c>
      <c r="X85" s="77">
        <f t="shared" si="12"/>
        <v>110</v>
      </c>
      <c r="Y85" s="77">
        <f t="shared" si="12"/>
        <v>30</v>
      </c>
      <c r="Z85" s="77">
        <f t="shared" si="12"/>
        <v>150</v>
      </c>
      <c r="AA85" s="77">
        <f t="shared" si="12"/>
        <v>30</v>
      </c>
      <c r="AB85" s="77">
        <f t="shared" si="12"/>
        <v>200</v>
      </c>
      <c r="AC85" s="77">
        <f t="shared" si="12"/>
        <v>110</v>
      </c>
      <c r="AD85" s="77">
        <f t="shared" si="12"/>
        <v>0</v>
      </c>
      <c r="AE85" s="77">
        <f t="shared" si="12"/>
        <v>160</v>
      </c>
      <c r="AF85" s="77">
        <f t="shared" si="12"/>
        <v>940</v>
      </c>
      <c r="AG85" s="77">
        <f t="shared" si="12"/>
        <v>2810</v>
      </c>
    </row>
    <row r="86" spans="1:33" s="76" customFormat="1" x14ac:dyDescent="0.3">
      <c r="A86" s="71" t="s">
        <v>36</v>
      </c>
      <c r="B86" s="72" t="s">
        <v>75</v>
      </c>
      <c r="C86" s="50" t="s">
        <v>370</v>
      </c>
      <c r="D86" s="72" t="s">
        <v>231</v>
      </c>
      <c r="E86" s="73">
        <v>100</v>
      </c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>
        <f t="shared" si="0"/>
        <v>0</v>
      </c>
      <c r="Q86" s="73">
        <f t="shared" si="1"/>
        <v>100</v>
      </c>
      <c r="R86" s="74">
        <v>9</v>
      </c>
      <c r="S86" s="75">
        <f t="shared" si="3"/>
        <v>900</v>
      </c>
      <c r="U86" s="73">
        <v>490</v>
      </c>
      <c r="V86" s="76">
        <f t="shared" si="4"/>
        <v>590</v>
      </c>
      <c r="W86" s="77">
        <f t="shared" si="12"/>
        <v>0</v>
      </c>
      <c r="X86" s="77">
        <f t="shared" si="12"/>
        <v>0</v>
      </c>
      <c r="Y86" s="77">
        <f t="shared" si="12"/>
        <v>0</v>
      </c>
      <c r="Z86" s="77">
        <f t="shared" si="12"/>
        <v>0</v>
      </c>
      <c r="AA86" s="77">
        <f t="shared" si="12"/>
        <v>0</v>
      </c>
      <c r="AB86" s="77">
        <f t="shared" si="12"/>
        <v>0</v>
      </c>
      <c r="AC86" s="77">
        <f t="shared" si="12"/>
        <v>0</v>
      </c>
      <c r="AD86" s="77">
        <f t="shared" si="12"/>
        <v>0</v>
      </c>
      <c r="AE86" s="77">
        <f t="shared" si="12"/>
        <v>0</v>
      </c>
      <c r="AF86" s="77">
        <f t="shared" si="12"/>
        <v>0</v>
      </c>
      <c r="AG86" s="77">
        <f t="shared" si="12"/>
        <v>900</v>
      </c>
    </row>
    <row r="87" spans="1:33" s="76" customFormat="1" x14ac:dyDescent="0.3">
      <c r="A87" s="71" t="s">
        <v>36</v>
      </c>
      <c r="B87" s="72" t="s">
        <v>213</v>
      </c>
      <c r="C87" s="50" t="s">
        <v>370</v>
      </c>
      <c r="D87" s="72" t="s">
        <v>230</v>
      </c>
      <c r="E87" s="73">
        <v>36</v>
      </c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>
        <f t="shared" si="0"/>
        <v>0</v>
      </c>
      <c r="Q87" s="73">
        <f t="shared" si="1"/>
        <v>36</v>
      </c>
      <c r="R87" s="74">
        <v>11</v>
      </c>
      <c r="S87" s="75">
        <f t="shared" si="3"/>
        <v>396</v>
      </c>
      <c r="U87" s="73">
        <v>120</v>
      </c>
      <c r="V87" s="76">
        <f t="shared" si="4"/>
        <v>156</v>
      </c>
      <c r="W87" s="77">
        <f t="shared" si="12"/>
        <v>0</v>
      </c>
      <c r="X87" s="77">
        <f t="shared" si="12"/>
        <v>0</v>
      </c>
      <c r="Y87" s="77">
        <f t="shared" si="12"/>
        <v>0</v>
      </c>
      <c r="Z87" s="77">
        <f t="shared" si="12"/>
        <v>0</v>
      </c>
      <c r="AA87" s="77">
        <f t="shared" si="12"/>
        <v>0</v>
      </c>
      <c r="AB87" s="77">
        <f t="shared" si="12"/>
        <v>0</v>
      </c>
      <c r="AC87" s="77">
        <f t="shared" si="12"/>
        <v>0</v>
      </c>
      <c r="AD87" s="77">
        <f t="shared" si="12"/>
        <v>0</v>
      </c>
      <c r="AE87" s="77">
        <f t="shared" si="12"/>
        <v>0</v>
      </c>
      <c r="AF87" s="77">
        <f t="shared" si="12"/>
        <v>0</v>
      </c>
      <c r="AG87" s="77">
        <f t="shared" si="12"/>
        <v>396</v>
      </c>
    </row>
    <row r="88" spans="1:33" s="76" customFormat="1" x14ac:dyDescent="0.3">
      <c r="A88" s="71" t="s">
        <v>36</v>
      </c>
      <c r="B88" s="72" t="s">
        <v>214</v>
      </c>
      <c r="C88" s="50" t="s">
        <v>370</v>
      </c>
      <c r="D88" s="72" t="s">
        <v>232</v>
      </c>
      <c r="E88" s="73">
        <v>43</v>
      </c>
      <c r="F88" s="73"/>
      <c r="G88" s="73"/>
      <c r="H88" s="73"/>
      <c r="I88" s="73">
        <v>1</v>
      </c>
      <c r="J88" s="73"/>
      <c r="K88" s="73"/>
      <c r="L88" s="73"/>
      <c r="M88" s="73"/>
      <c r="N88" s="73"/>
      <c r="O88" s="73"/>
      <c r="P88" s="73">
        <f t="shared" si="0"/>
        <v>1</v>
      </c>
      <c r="Q88" s="73">
        <f t="shared" si="1"/>
        <v>42</v>
      </c>
      <c r="R88" s="74">
        <v>11</v>
      </c>
      <c r="S88" s="75">
        <f t="shared" si="3"/>
        <v>462</v>
      </c>
      <c r="U88" s="73">
        <v>29</v>
      </c>
      <c r="V88" s="76">
        <f t="shared" si="4"/>
        <v>71</v>
      </c>
      <c r="W88" s="77">
        <f t="shared" si="12"/>
        <v>0</v>
      </c>
      <c r="X88" s="77">
        <f t="shared" si="12"/>
        <v>0</v>
      </c>
      <c r="Y88" s="77">
        <f t="shared" si="12"/>
        <v>11</v>
      </c>
      <c r="Z88" s="77">
        <f t="shared" si="12"/>
        <v>0</v>
      </c>
      <c r="AA88" s="77">
        <f t="shared" si="12"/>
        <v>0</v>
      </c>
      <c r="AB88" s="77">
        <f t="shared" si="12"/>
        <v>0</v>
      </c>
      <c r="AC88" s="77">
        <f t="shared" si="12"/>
        <v>0</v>
      </c>
      <c r="AD88" s="77">
        <f t="shared" si="12"/>
        <v>0</v>
      </c>
      <c r="AE88" s="77">
        <f t="shared" si="12"/>
        <v>0</v>
      </c>
      <c r="AF88" s="77">
        <f t="shared" si="12"/>
        <v>11</v>
      </c>
      <c r="AG88" s="77">
        <f t="shared" si="12"/>
        <v>462</v>
      </c>
    </row>
    <row r="89" spans="1:33" s="76" customFormat="1" x14ac:dyDescent="0.3">
      <c r="A89" s="71" t="s">
        <v>36</v>
      </c>
      <c r="B89" s="72" t="s">
        <v>215</v>
      </c>
      <c r="C89" s="50" t="s">
        <v>370</v>
      </c>
      <c r="D89" s="72" t="s">
        <v>228</v>
      </c>
      <c r="E89" s="73">
        <v>0</v>
      </c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>
        <f t="shared" si="0"/>
        <v>0</v>
      </c>
      <c r="Q89" s="73">
        <f t="shared" si="1"/>
        <v>0</v>
      </c>
      <c r="R89" s="74">
        <v>11</v>
      </c>
      <c r="S89" s="75">
        <f t="shared" si="3"/>
        <v>0</v>
      </c>
      <c r="U89" s="73">
        <v>0</v>
      </c>
      <c r="V89" s="76">
        <f t="shared" si="4"/>
        <v>0</v>
      </c>
      <c r="W89" s="77">
        <f t="shared" si="12"/>
        <v>0</v>
      </c>
      <c r="X89" s="77">
        <f t="shared" si="12"/>
        <v>0</v>
      </c>
      <c r="Y89" s="77">
        <f t="shared" si="12"/>
        <v>0</v>
      </c>
      <c r="Z89" s="77">
        <f t="shared" si="12"/>
        <v>0</v>
      </c>
      <c r="AA89" s="77">
        <f t="shared" si="12"/>
        <v>0</v>
      </c>
      <c r="AB89" s="77">
        <f t="shared" si="12"/>
        <v>0</v>
      </c>
      <c r="AC89" s="77">
        <f t="shared" si="12"/>
        <v>0</v>
      </c>
      <c r="AD89" s="77">
        <f t="shared" si="12"/>
        <v>0</v>
      </c>
      <c r="AE89" s="77">
        <f t="shared" si="12"/>
        <v>0</v>
      </c>
      <c r="AF89" s="77">
        <f t="shared" si="12"/>
        <v>0</v>
      </c>
      <c r="AG89" s="77">
        <f t="shared" si="12"/>
        <v>0</v>
      </c>
    </row>
    <row r="90" spans="1:33" s="76" customFormat="1" x14ac:dyDescent="0.3">
      <c r="A90" s="71" t="s">
        <v>36</v>
      </c>
      <c r="B90" s="72" t="s">
        <v>216</v>
      </c>
      <c r="C90" s="50" t="s">
        <v>370</v>
      </c>
      <c r="D90" s="72" t="s">
        <v>233</v>
      </c>
      <c r="E90" s="73">
        <v>0</v>
      </c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>
        <f t="shared" si="0"/>
        <v>0</v>
      </c>
      <c r="Q90" s="73">
        <f t="shared" si="1"/>
        <v>0</v>
      </c>
      <c r="R90" s="74">
        <v>11</v>
      </c>
      <c r="S90" s="75">
        <f t="shared" si="3"/>
        <v>0</v>
      </c>
      <c r="U90" s="73">
        <v>0</v>
      </c>
      <c r="V90" s="76">
        <f t="shared" si="4"/>
        <v>0</v>
      </c>
      <c r="W90" s="77">
        <f t="shared" si="12"/>
        <v>0</v>
      </c>
      <c r="X90" s="77">
        <f t="shared" si="12"/>
        <v>0</v>
      </c>
      <c r="Y90" s="77">
        <f t="shared" si="12"/>
        <v>0</v>
      </c>
      <c r="Z90" s="77">
        <f t="shared" si="12"/>
        <v>0</v>
      </c>
      <c r="AA90" s="77">
        <f t="shared" si="12"/>
        <v>0</v>
      </c>
      <c r="AB90" s="77">
        <f t="shared" si="12"/>
        <v>0</v>
      </c>
      <c r="AC90" s="77">
        <f t="shared" si="12"/>
        <v>0</v>
      </c>
      <c r="AD90" s="77">
        <f t="shared" si="12"/>
        <v>0</v>
      </c>
      <c r="AE90" s="77">
        <f t="shared" si="12"/>
        <v>0</v>
      </c>
      <c r="AF90" s="77">
        <f t="shared" si="12"/>
        <v>0</v>
      </c>
      <c r="AG90" s="77">
        <f t="shared" si="12"/>
        <v>0</v>
      </c>
    </row>
    <row r="91" spans="1:33" s="76" customFormat="1" x14ac:dyDescent="0.3">
      <c r="A91" s="71" t="s">
        <v>36</v>
      </c>
      <c r="B91" s="72" t="s">
        <v>217</v>
      </c>
      <c r="C91" s="50" t="s">
        <v>370</v>
      </c>
      <c r="D91" s="72" t="s">
        <v>234</v>
      </c>
      <c r="E91" s="73">
        <v>40</v>
      </c>
      <c r="F91" s="73"/>
      <c r="G91" s="73"/>
      <c r="H91" s="73">
        <v>6</v>
      </c>
      <c r="I91" s="73"/>
      <c r="J91" s="73"/>
      <c r="K91" s="73"/>
      <c r="L91" s="73"/>
      <c r="M91" s="73"/>
      <c r="N91" s="73">
        <v>7</v>
      </c>
      <c r="O91" s="73"/>
      <c r="P91" s="73">
        <f t="shared" si="0"/>
        <v>13</v>
      </c>
      <c r="Q91" s="73">
        <f t="shared" si="1"/>
        <v>27</v>
      </c>
      <c r="R91" s="74">
        <v>20</v>
      </c>
      <c r="S91" s="75">
        <f t="shared" si="3"/>
        <v>540</v>
      </c>
      <c r="U91" s="73">
        <v>40</v>
      </c>
      <c r="V91" s="76">
        <f t="shared" si="4"/>
        <v>67</v>
      </c>
      <c r="W91" s="77">
        <f t="shared" ref="W91:AG117" si="13">G91*$R91</f>
        <v>0</v>
      </c>
      <c r="X91" s="77">
        <f t="shared" si="13"/>
        <v>120</v>
      </c>
      <c r="Y91" s="77">
        <f t="shared" si="13"/>
        <v>0</v>
      </c>
      <c r="Z91" s="77">
        <f t="shared" si="13"/>
        <v>0</v>
      </c>
      <c r="AA91" s="77">
        <f t="shared" si="13"/>
        <v>0</v>
      </c>
      <c r="AB91" s="77">
        <f t="shared" si="13"/>
        <v>0</v>
      </c>
      <c r="AC91" s="77">
        <f t="shared" si="13"/>
        <v>0</v>
      </c>
      <c r="AD91" s="77">
        <f t="shared" si="13"/>
        <v>140</v>
      </c>
      <c r="AE91" s="77">
        <f t="shared" si="13"/>
        <v>0</v>
      </c>
      <c r="AF91" s="77">
        <f t="shared" si="13"/>
        <v>260</v>
      </c>
      <c r="AG91" s="77">
        <f t="shared" si="13"/>
        <v>540</v>
      </c>
    </row>
    <row r="92" spans="1:33" s="76" customFormat="1" x14ac:dyDescent="0.3">
      <c r="A92" s="71" t="s">
        <v>36</v>
      </c>
      <c r="B92" s="72" t="s">
        <v>218</v>
      </c>
      <c r="C92" s="50" t="s">
        <v>370</v>
      </c>
      <c r="D92" s="72" t="s">
        <v>235</v>
      </c>
      <c r="E92" s="73">
        <v>25</v>
      </c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>
        <f t="shared" si="0"/>
        <v>0</v>
      </c>
      <c r="Q92" s="73">
        <f t="shared" si="1"/>
        <v>25</v>
      </c>
      <c r="R92" s="74">
        <v>20</v>
      </c>
      <c r="S92" s="75">
        <f t="shared" si="3"/>
        <v>500</v>
      </c>
      <c r="U92" s="73">
        <v>60</v>
      </c>
      <c r="V92" s="76">
        <f t="shared" si="4"/>
        <v>85</v>
      </c>
      <c r="W92" s="77">
        <f t="shared" si="13"/>
        <v>0</v>
      </c>
      <c r="X92" s="77">
        <f t="shared" si="13"/>
        <v>0</v>
      </c>
      <c r="Y92" s="77">
        <f t="shared" si="13"/>
        <v>0</v>
      </c>
      <c r="Z92" s="77">
        <f t="shared" si="13"/>
        <v>0</v>
      </c>
      <c r="AA92" s="77">
        <f t="shared" si="13"/>
        <v>0</v>
      </c>
      <c r="AB92" s="77">
        <f t="shared" si="13"/>
        <v>0</v>
      </c>
      <c r="AC92" s="77">
        <f t="shared" si="13"/>
        <v>0</v>
      </c>
      <c r="AD92" s="77">
        <f t="shared" si="13"/>
        <v>0</v>
      </c>
      <c r="AE92" s="77">
        <f t="shared" si="13"/>
        <v>0</v>
      </c>
      <c r="AF92" s="77">
        <f t="shared" si="13"/>
        <v>0</v>
      </c>
      <c r="AG92" s="77">
        <f t="shared" si="13"/>
        <v>500</v>
      </c>
    </row>
    <row r="93" spans="1:33" s="76" customFormat="1" x14ac:dyDescent="0.3">
      <c r="A93" s="71" t="s">
        <v>36</v>
      </c>
      <c r="B93" s="72" t="s">
        <v>219</v>
      </c>
      <c r="C93" s="50" t="s">
        <v>370</v>
      </c>
      <c r="D93" s="72" t="s">
        <v>236</v>
      </c>
      <c r="E93" s="73">
        <v>15</v>
      </c>
      <c r="F93" s="73"/>
      <c r="G93" s="73"/>
      <c r="H93" s="73"/>
      <c r="I93" s="73"/>
      <c r="J93" s="73"/>
      <c r="K93" s="73"/>
      <c r="L93" s="73">
        <v>2</v>
      </c>
      <c r="M93" s="73"/>
      <c r="N93" s="73"/>
      <c r="O93" s="73"/>
      <c r="P93" s="73">
        <f t="shared" si="0"/>
        <v>2</v>
      </c>
      <c r="Q93" s="73">
        <f t="shared" si="1"/>
        <v>13</v>
      </c>
      <c r="R93" s="74">
        <v>20</v>
      </c>
      <c r="S93" s="75">
        <f t="shared" si="3"/>
        <v>260</v>
      </c>
      <c r="U93" s="73">
        <v>40</v>
      </c>
      <c r="V93" s="76">
        <f t="shared" si="4"/>
        <v>53</v>
      </c>
      <c r="W93" s="77">
        <f t="shared" si="13"/>
        <v>0</v>
      </c>
      <c r="X93" s="77">
        <f t="shared" si="13"/>
        <v>0</v>
      </c>
      <c r="Y93" s="77">
        <f t="shared" si="13"/>
        <v>0</v>
      </c>
      <c r="Z93" s="77">
        <f t="shared" si="13"/>
        <v>0</v>
      </c>
      <c r="AA93" s="77">
        <f t="shared" si="13"/>
        <v>0</v>
      </c>
      <c r="AB93" s="77">
        <f t="shared" si="13"/>
        <v>40</v>
      </c>
      <c r="AC93" s="77">
        <f t="shared" si="13"/>
        <v>0</v>
      </c>
      <c r="AD93" s="77">
        <f t="shared" si="13"/>
        <v>0</v>
      </c>
      <c r="AE93" s="77">
        <f t="shared" si="13"/>
        <v>0</v>
      </c>
      <c r="AF93" s="77">
        <f t="shared" si="13"/>
        <v>40</v>
      </c>
      <c r="AG93" s="77">
        <f t="shared" si="13"/>
        <v>260</v>
      </c>
    </row>
    <row r="94" spans="1:33" s="76" customFormat="1" x14ac:dyDescent="0.3">
      <c r="A94" s="71" t="s">
        <v>36</v>
      </c>
      <c r="B94" s="72" t="s">
        <v>76</v>
      </c>
      <c r="C94" s="50" t="s">
        <v>370</v>
      </c>
      <c r="D94" s="72" t="s">
        <v>237</v>
      </c>
      <c r="E94" s="73">
        <v>0</v>
      </c>
      <c r="F94" s="73">
        <v>60</v>
      </c>
      <c r="G94" s="73"/>
      <c r="H94" s="73">
        <v>4</v>
      </c>
      <c r="I94" s="73"/>
      <c r="J94" s="73"/>
      <c r="K94" s="73">
        <v>2</v>
      </c>
      <c r="L94" s="73"/>
      <c r="M94" s="73">
        <v>49</v>
      </c>
      <c r="N94" s="73"/>
      <c r="O94" s="73">
        <v>5</v>
      </c>
      <c r="P94" s="73">
        <f t="shared" ref="P94:P112" si="14">SUM(G94:O94)</f>
        <v>60</v>
      </c>
      <c r="Q94" s="73">
        <f t="shared" ref="Q94:Q116" si="15">E94+F94-P94</f>
        <v>0</v>
      </c>
      <c r="R94" s="74">
        <v>250</v>
      </c>
      <c r="S94" s="75">
        <f t="shared" ref="S94:S116" si="16">Q94*R94</f>
        <v>0</v>
      </c>
      <c r="U94" s="73">
        <v>0</v>
      </c>
      <c r="V94" s="76">
        <f t="shared" ref="V94:V128" si="17">Q94+U94</f>
        <v>0</v>
      </c>
      <c r="W94" s="77">
        <f t="shared" si="13"/>
        <v>0</v>
      </c>
      <c r="X94" s="77">
        <f t="shared" si="13"/>
        <v>1000</v>
      </c>
      <c r="Y94" s="77">
        <f t="shared" si="13"/>
        <v>0</v>
      </c>
      <c r="Z94" s="77">
        <f t="shared" si="13"/>
        <v>0</v>
      </c>
      <c r="AA94" s="77">
        <f t="shared" si="13"/>
        <v>500</v>
      </c>
      <c r="AB94" s="77">
        <f t="shared" si="13"/>
        <v>0</v>
      </c>
      <c r="AC94" s="77">
        <f t="shared" si="13"/>
        <v>12250</v>
      </c>
      <c r="AD94" s="77">
        <f t="shared" si="13"/>
        <v>0</v>
      </c>
      <c r="AE94" s="77">
        <f t="shared" si="13"/>
        <v>1250</v>
      </c>
      <c r="AF94" s="77">
        <f t="shared" si="13"/>
        <v>15000</v>
      </c>
      <c r="AG94" s="77">
        <f t="shared" si="13"/>
        <v>0</v>
      </c>
    </row>
    <row r="95" spans="1:33" s="76" customFormat="1" x14ac:dyDescent="0.3">
      <c r="A95" s="71" t="s">
        <v>37</v>
      </c>
      <c r="B95" s="72" t="s">
        <v>77</v>
      </c>
      <c r="C95" s="50" t="s">
        <v>370</v>
      </c>
      <c r="D95" s="72" t="s">
        <v>354</v>
      </c>
      <c r="E95" s="73">
        <v>0</v>
      </c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>
        <f t="shared" si="14"/>
        <v>0</v>
      </c>
      <c r="Q95" s="73">
        <f t="shared" si="15"/>
        <v>0</v>
      </c>
      <c r="R95" s="74">
        <v>180</v>
      </c>
      <c r="S95" s="75">
        <f t="shared" si="16"/>
        <v>0</v>
      </c>
      <c r="U95" s="76">
        <v>0</v>
      </c>
      <c r="V95" s="76">
        <f t="shared" si="17"/>
        <v>0</v>
      </c>
      <c r="W95" s="77">
        <f t="shared" si="13"/>
        <v>0</v>
      </c>
      <c r="X95" s="77">
        <f t="shared" si="13"/>
        <v>0</v>
      </c>
      <c r="Y95" s="77">
        <f t="shared" si="13"/>
        <v>0</v>
      </c>
      <c r="Z95" s="77">
        <f t="shared" si="13"/>
        <v>0</v>
      </c>
      <c r="AA95" s="77">
        <f t="shared" si="13"/>
        <v>0</v>
      </c>
      <c r="AB95" s="77">
        <f t="shared" si="13"/>
        <v>0</v>
      </c>
      <c r="AC95" s="77">
        <f t="shared" si="13"/>
        <v>0</v>
      </c>
      <c r="AD95" s="77">
        <f t="shared" si="13"/>
        <v>0</v>
      </c>
      <c r="AE95" s="77">
        <f t="shared" si="13"/>
        <v>0</v>
      </c>
      <c r="AF95" s="77">
        <f t="shared" si="13"/>
        <v>0</v>
      </c>
      <c r="AG95" s="77">
        <f t="shared" si="13"/>
        <v>0</v>
      </c>
    </row>
    <row r="96" spans="1:33" s="76" customFormat="1" x14ac:dyDescent="0.3">
      <c r="A96" s="71" t="s">
        <v>37</v>
      </c>
      <c r="B96" s="72" t="s">
        <v>78</v>
      </c>
      <c r="C96" s="50" t="s">
        <v>370</v>
      </c>
      <c r="D96" s="72" t="s">
        <v>238</v>
      </c>
      <c r="E96" s="73">
        <v>0</v>
      </c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>
        <f t="shared" si="14"/>
        <v>0</v>
      </c>
      <c r="Q96" s="73">
        <f t="shared" si="15"/>
        <v>0</v>
      </c>
      <c r="R96" s="74">
        <v>400</v>
      </c>
      <c r="S96" s="75">
        <f t="shared" si="16"/>
        <v>0</v>
      </c>
      <c r="U96" s="76">
        <v>0</v>
      </c>
      <c r="V96" s="76">
        <f t="shared" si="17"/>
        <v>0</v>
      </c>
      <c r="W96" s="77">
        <f t="shared" si="13"/>
        <v>0</v>
      </c>
      <c r="X96" s="77">
        <f t="shared" si="13"/>
        <v>0</v>
      </c>
      <c r="Y96" s="77">
        <f t="shared" si="13"/>
        <v>0</v>
      </c>
      <c r="Z96" s="77">
        <f t="shared" si="13"/>
        <v>0</v>
      </c>
      <c r="AA96" s="77">
        <f t="shared" si="13"/>
        <v>0</v>
      </c>
      <c r="AB96" s="77">
        <f t="shared" si="13"/>
        <v>0</v>
      </c>
      <c r="AC96" s="77">
        <f t="shared" si="13"/>
        <v>0</v>
      </c>
      <c r="AD96" s="77">
        <f t="shared" si="13"/>
        <v>0</v>
      </c>
      <c r="AE96" s="77">
        <f t="shared" si="13"/>
        <v>0</v>
      </c>
      <c r="AF96" s="77">
        <f t="shared" si="13"/>
        <v>0</v>
      </c>
      <c r="AG96" s="77">
        <f t="shared" si="13"/>
        <v>0</v>
      </c>
    </row>
    <row r="97" spans="1:32" s="83" customFormat="1" x14ac:dyDescent="0.3">
      <c r="A97" s="78" t="s">
        <v>36</v>
      </c>
      <c r="B97" s="79" t="s">
        <v>246</v>
      </c>
      <c r="C97" s="79" t="s">
        <v>20</v>
      </c>
      <c r="D97" s="79" t="s">
        <v>242</v>
      </c>
      <c r="E97" s="80">
        <v>0</v>
      </c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>
        <f>SUM(G97:O97)</f>
        <v>0</v>
      </c>
      <c r="Q97" s="80">
        <f>E97+F97-P97</f>
        <v>0</v>
      </c>
      <c r="R97" s="81">
        <v>4300</v>
      </c>
      <c r="S97" s="82">
        <f>Q97*R97</f>
        <v>0</v>
      </c>
      <c r="U97" s="80"/>
      <c r="W97" s="84">
        <f t="shared" si="13"/>
        <v>0</v>
      </c>
      <c r="X97" s="84">
        <f t="shared" si="13"/>
        <v>0</v>
      </c>
      <c r="Y97" s="84">
        <f t="shared" si="13"/>
        <v>0</v>
      </c>
      <c r="Z97" s="84">
        <f t="shared" si="13"/>
        <v>0</v>
      </c>
      <c r="AA97" s="84">
        <f t="shared" si="13"/>
        <v>0</v>
      </c>
      <c r="AB97" s="84">
        <f t="shared" si="13"/>
        <v>0</v>
      </c>
      <c r="AC97" s="84">
        <f t="shared" si="13"/>
        <v>0</v>
      </c>
      <c r="AD97" s="84">
        <f t="shared" si="13"/>
        <v>0</v>
      </c>
      <c r="AE97" s="84">
        <f t="shared" si="13"/>
        <v>0</v>
      </c>
      <c r="AF97" s="85"/>
    </row>
    <row r="98" spans="1:32" s="83" customFormat="1" x14ac:dyDescent="0.3">
      <c r="A98" s="78" t="s">
        <v>36</v>
      </c>
      <c r="B98" s="79" t="s">
        <v>247</v>
      </c>
      <c r="C98" s="79" t="s">
        <v>20</v>
      </c>
      <c r="D98" s="79" t="s">
        <v>243</v>
      </c>
      <c r="E98" s="80">
        <v>1</v>
      </c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>
        <f>SUM(G98:O98)</f>
        <v>0</v>
      </c>
      <c r="Q98" s="80">
        <f>E98+F98-P98</f>
        <v>1</v>
      </c>
      <c r="R98" s="81">
        <v>4300</v>
      </c>
      <c r="S98" s="82">
        <f>Q98*R98</f>
        <v>4300</v>
      </c>
      <c r="U98" s="80"/>
      <c r="W98" s="84">
        <f t="shared" si="13"/>
        <v>0</v>
      </c>
      <c r="X98" s="84">
        <f t="shared" si="13"/>
        <v>0</v>
      </c>
      <c r="Y98" s="84">
        <f t="shared" si="13"/>
        <v>0</v>
      </c>
      <c r="Z98" s="84">
        <f t="shared" si="13"/>
        <v>0</v>
      </c>
      <c r="AA98" s="84">
        <f t="shared" si="13"/>
        <v>0</v>
      </c>
      <c r="AB98" s="84">
        <f t="shared" si="13"/>
        <v>0</v>
      </c>
      <c r="AC98" s="84">
        <f t="shared" si="13"/>
        <v>0</v>
      </c>
      <c r="AD98" s="84">
        <f t="shared" si="13"/>
        <v>0</v>
      </c>
      <c r="AE98" s="84">
        <f t="shared" si="13"/>
        <v>0</v>
      </c>
      <c r="AF98" s="85"/>
    </row>
    <row r="99" spans="1:32" s="83" customFormat="1" x14ac:dyDescent="0.3">
      <c r="A99" s="78" t="s">
        <v>36</v>
      </c>
      <c r="B99" s="79" t="s">
        <v>248</v>
      </c>
      <c r="C99" s="79" t="s">
        <v>20</v>
      </c>
      <c r="D99" s="79" t="s">
        <v>244</v>
      </c>
      <c r="E99" s="80">
        <v>1</v>
      </c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>
        <f>SUM(G99:O99)</f>
        <v>0</v>
      </c>
      <c r="Q99" s="80">
        <f>E99+F99-P99</f>
        <v>1</v>
      </c>
      <c r="R99" s="81">
        <v>4300</v>
      </c>
      <c r="S99" s="82">
        <f>Q99*R99</f>
        <v>4300</v>
      </c>
      <c r="U99" s="80"/>
      <c r="W99" s="84">
        <f t="shared" si="13"/>
        <v>0</v>
      </c>
      <c r="X99" s="84">
        <f t="shared" si="13"/>
        <v>0</v>
      </c>
      <c r="Y99" s="84">
        <f t="shared" si="13"/>
        <v>0</v>
      </c>
      <c r="Z99" s="84">
        <f t="shared" si="13"/>
        <v>0</v>
      </c>
      <c r="AA99" s="84">
        <f t="shared" si="13"/>
        <v>0</v>
      </c>
      <c r="AB99" s="84">
        <f t="shared" si="13"/>
        <v>0</v>
      </c>
      <c r="AC99" s="84">
        <f t="shared" si="13"/>
        <v>0</v>
      </c>
      <c r="AD99" s="84">
        <f t="shared" si="13"/>
        <v>0</v>
      </c>
      <c r="AE99" s="84">
        <f t="shared" si="13"/>
        <v>0</v>
      </c>
      <c r="AF99" s="85"/>
    </row>
    <row r="100" spans="1:32" s="83" customFormat="1" ht="12.5" customHeight="1" x14ac:dyDescent="0.3">
      <c r="A100" s="78" t="s">
        <v>36</v>
      </c>
      <c r="B100" s="79" t="s">
        <v>249</v>
      </c>
      <c r="C100" s="79" t="s">
        <v>20</v>
      </c>
      <c r="D100" s="79" t="s">
        <v>245</v>
      </c>
      <c r="E100" s="80">
        <v>1</v>
      </c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>
        <f>SUM(G100:O100)</f>
        <v>0</v>
      </c>
      <c r="Q100" s="80">
        <f>E100+F100-P100</f>
        <v>1</v>
      </c>
      <c r="R100" s="81">
        <v>4300</v>
      </c>
      <c r="S100" s="82">
        <f>Q100*R100</f>
        <v>4300</v>
      </c>
      <c r="U100" s="80"/>
      <c r="W100" s="84">
        <f t="shared" si="13"/>
        <v>0</v>
      </c>
      <c r="X100" s="84">
        <f t="shared" si="13"/>
        <v>0</v>
      </c>
      <c r="Y100" s="84">
        <f t="shared" si="13"/>
        <v>0</v>
      </c>
      <c r="Z100" s="84">
        <f t="shared" si="13"/>
        <v>0</v>
      </c>
      <c r="AA100" s="84">
        <f t="shared" si="13"/>
        <v>0</v>
      </c>
      <c r="AB100" s="84">
        <f t="shared" si="13"/>
        <v>0</v>
      </c>
      <c r="AC100" s="84">
        <f t="shared" si="13"/>
        <v>0</v>
      </c>
      <c r="AD100" s="84">
        <f t="shared" si="13"/>
        <v>0</v>
      </c>
      <c r="AE100" s="84">
        <f t="shared" si="13"/>
        <v>0</v>
      </c>
      <c r="AF100" s="85"/>
    </row>
    <row r="101" spans="1:32" s="83" customFormat="1" x14ac:dyDescent="0.3">
      <c r="A101" s="78" t="s">
        <v>36</v>
      </c>
      <c r="B101" s="79" t="s">
        <v>250</v>
      </c>
      <c r="C101" s="79" t="s">
        <v>20</v>
      </c>
      <c r="D101" s="79" t="s">
        <v>239</v>
      </c>
      <c r="E101" s="80">
        <v>15</v>
      </c>
      <c r="F101" s="80"/>
      <c r="G101" s="80"/>
      <c r="H101" s="80"/>
      <c r="I101" s="80"/>
      <c r="J101" s="80"/>
      <c r="K101" s="80">
        <v>1</v>
      </c>
      <c r="L101" s="80"/>
      <c r="M101" s="80"/>
      <c r="N101" s="80"/>
      <c r="O101" s="80"/>
      <c r="P101" s="80">
        <f t="shared" si="14"/>
        <v>1</v>
      </c>
      <c r="Q101" s="80">
        <f t="shared" si="15"/>
        <v>14</v>
      </c>
      <c r="R101" s="81">
        <v>320</v>
      </c>
      <c r="S101" s="82">
        <f t="shared" si="16"/>
        <v>4480</v>
      </c>
      <c r="U101" s="80">
        <v>12</v>
      </c>
      <c r="V101" s="83">
        <f t="shared" si="17"/>
        <v>26</v>
      </c>
      <c r="W101" s="84">
        <f t="shared" si="13"/>
        <v>0</v>
      </c>
      <c r="X101" s="84">
        <f t="shared" si="13"/>
        <v>0</v>
      </c>
      <c r="Y101" s="84">
        <f t="shared" si="13"/>
        <v>0</v>
      </c>
      <c r="Z101" s="84">
        <f t="shared" si="13"/>
        <v>0</v>
      </c>
      <c r="AA101" s="84">
        <f t="shared" si="13"/>
        <v>320</v>
      </c>
      <c r="AB101" s="84">
        <f t="shared" si="13"/>
        <v>0</v>
      </c>
      <c r="AC101" s="84">
        <f t="shared" si="13"/>
        <v>0</v>
      </c>
      <c r="AD101" s="84">
        <f t="shared" si="13"/>
        <v>0</v>
      </c>
      <c r="AE101" s="84">
        <f t="shared" si="13"/>
        <v>0</v>
      </c>
      <c r="AF101" s="85">
        <f t="shared" ref="AF101:AF120" si="18">$P101*$R101</f>
        <v>320</v>
      </c>
    </row>
    <row r="102" spans="1:32" s="83" customFormat="1" x14ac:dyDescent="0.3">
      <c r="A102" s="78" t="s">
        <v>36</v>
      </c>
      <c r="B102" s="79" t="s">
        <v>251</v>
      </c>
      <c r="C102" s="79" t="s">
        <v>20</v>
      </c>
      <c r="D102" s="79" t="s">
        <v>240</v>
      </c>
      <c r="E102" s="80">
        <v>19</v>
      </c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>
        <f t="shared" si="14"/>
        <v>0</v>
      </c>
      <c r="Q102" s="80">
        <f t="shared" si="15"/>
        <v>19</v>
      </c>
      <c r="R102" s="81">
        <v>320</v>
      </c>
      <c r="S102" s="82">
        <f t="shared" si="16"/>
        <v>6080</v>
      </c>
      <c r="U102" s="80">
        <v>16</v>
      </c>
      <c r="V102" s="83">
        <f t="shared" si="17"/>
        <v>35</v>
      </c>
      <c r="W102" s="84">
        <f t="shared" si="13"/>
        <v>0</v>
      </c>
      <c r="X102" s="84">
        <f t="shared" si="13"/>
        <v>0</v>
      </c>
      <c r="Y102" s="84">
        <f t="shared" si="13"/>
        <v>0</v>
      </c>
      <c r="Z102" s="84">
        <f t="shared" si="13"/>
        <v>0</v>
      </c>
      <c r="AA102" s="84">
        <f t="shared" si="13"/>
        <v>0</v>
      </c>
      <c r="AB102" s="84">
        <f t="shared" si="13"/>
        <v>0</v>
      </c>
      <c r="AC102" s="84">
        <f t="shared" si="13"/>
        <v>0</v>
      </c>
      <c r="AD102" s="84">
        <f t="shared" si="13"/>
        <v>0</v>
      </c>
      <c r="AE102" s="84">
        <f t="shared" si="13"/>
        <v>0</v>
      </c>
      <c r="AF102" s="85">
        <f t="shared" si="18"/>
        <v>0</v>
      </c>
    </row>
    <row r="103" spans="1:32" s="83" customFormat="1" x14ac:dyDescent="0.3">
      <c r="A103" s="78" t="s">
        <v>36</v>
      </c>
      <c r="B103" s="79" t="s">
        <v>252</v>
      </c>
      <c r="C103" s="79" t="s">
        <v>20</v>
      </c>
      <c r="D103" s="79" t="s">
        <v>241</v>
      </c>
      <c r="E103" s="80">
        <v>15</v>
      </c>
      <c r="F103" s="80"/>
      <c r="G103" s="80"/>
      <c r="H103" s="80"/>
      <c r="I103" s="80"/>
      <c r="J103" s="80"/>
      <c r="K103" s="80">
        <v>1</v>
      </c>
      <c r="L103" s="80"/>
      <c r="M103" s="80"/>
      <c r="N103" s="80"/>
      <c r="O103" s="80"/>
      <c r="P103" s="80">
        <f t="shared" si="14"/>
        <v>1</v>
      </c>
      <c r="Q103" s="80">
        <f t="shared" si="15"/>
        <v>14</v>
      </c>
      <c r="R103" s="81">
        <v>320</v>
      </c>
      <c r="S103" s="82">
        <f t="shared" si="16"/>
        <v>4480</v>
      </c>
      <c r="U103" s="80">
        <v>14</v>
      </c>
      <c r="V103" s="83">
        <f t="shared" si="17"/>
        <v>28</v>
      </c>
      <c r="W103" s="84">
        <f t="shared" si="13"/>
        <v>0</v>
      </c>
      <c r="X103" s="84">
        <f t="shared" si="13"/>
        <v>0</v>
      </c>
      <c r="Y103" s="84">
        <f t="shared" si="13"/>
        <v>0</v>
      </c>
      <c r="Z103" s="84">
        <f t="shared" si="13"/>
        <v>0</v>
      </c>
      <c r="AA103" s="84">
        <f t="shared" si="13"/>
        <v>320</v>
      </c>
      <c r="AB103" s="84">
        <f t="shared" si="13"/>
        <v>0</v>
      </c>
      <c r="AC103" s="84">
        <f t="shared" si="13"/>
        <v>0</v>
      </c>
      <c r="AD103" s="84">
        <f t="shared" si="13"/>
        <v>0</v>
      </c>
      <c r="AE103" s="84">
        <f t="shared" si="13"/>
        <v>0</v>
      </c>
      <c r="AF103" s="85">
        <f t="shared" si="18"/>
        <v>320</v>
      </c>
    </row>
    <row r="104" spans="1:32" s="83" customFormat="1" x14ac:dyDescent="0.3">
      <c r="A104" s="78" t="s">
        <v>36</v>
      </c>
      <c r="B104" s="79" t="s">
        <v>253</v>
      </c>
      <c r="C104" s="79" t="s">
        <v>20</v>
      </c>
      <c r="D104" s="79" t="s">
        <v>254</v>
      </c>
      <c r="E104" s="80">
        <v>13</v>
      </c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>
        <f t="shared" si="14"/>
        <v>0</v>
      </c>
      <c r="Q104" s="80">
        <f t="shared" si="15"/>
        <v>13</v>
      </c>
      <c r="R104" s="81">
        <v>320</v>
      </c>
      <c r="S104" s="82">
        <f t="shared" si="16"/>
        <v>4160</v>
      </c>
      <c r="U104" s="80">
        <v>17</v>
      </c>
      <c r="V104" s="83">
        <f t="shared" si="17"/>
        <v>30</v>
      </c>
      <c r="W104" s="84">
        <f t="shared" si="13"/>
        <v>0</v>
      </c>
      <c r="X104" s="84">
        <f t="shared" si="13"/>
        <v>0</v>
      </c>
      <c r="Y104" s="84">
        <f t="shared" si="13"/>
        <v>0</v>
      </c>
      <c r="Z104" s="84">
        <f t="shared" si="13"/>
        <v>0</v>
      </c>
      <c r="AA104" s="84">
        <f t="shared" si="13"/>
        <v>0</v>
      </c>
      <c r="AB104" s="84">
        <f t="shared" si="13"/>
        <v>0</v>
      </c>
      <c r="AC104" s="84">
        <f t="shared" si="13"/>
        <v>0</v>
      </c>
      <c r="AD104" s="84">
        <f t="shared" si="13"/>
        <v>0</v>
      </c>
      <c r="AE104" s="84">
        <f t="shared" si="13"/>
        <v>0</v>
      </c>
      <c r="AF104" s="85">
        <f t="shared" si="18"/>
        <v>0</v>
      </c>
    </row>
    <row r="105" spans="1:32" s="83" customFormat="1" x14ac:dyDescent="0.3">
      <c r="A105" s="78" t="s">
        <v>36</v>
      </c>
      <c r="B105" s="79" t="s">
        <v>271</v>
      </c>
      <c r="C105" s="79" t="s">
        <v>20</v>
      </c>
      <c r="D105" s="79" t="s">
        <v>255</v>
      </c>
      <c r="E105" s="80">
        <v>0</v>
      </c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>
        <f>SUM(G105:O105)</f>
        <v>0</v>
      </c>
      <c r="Q105" s="80">
        <f>E105+F105-P105</f>
        <v>0</v>
      </c>
      <c r="R105" s="81">
        <v>780</v>
      </c>
      <c r="S105" s="82">
        <f>Q105*R105</f>
        <v>0</v>
      </c>
      <c r="U105" s="80">
        <v>0</v>
      </c>
      <c r="V105" s="83">
        <f>Q105+U105</f>
        <v>0</v>
      </c>
      <c r="W105" s="84">
        <f t="shared" si="13"/>
        <v>0</v>
      </c>
      <c r="X105" s="84">
        <f t="shared" si="13"/>
        <v>0</v>
      </c>
      <c r="Y105" s="84">
        <f t="shared" si="13"/>
        <v>0</v>
      </c>
      <c r="Z105" s="84">
        <f t="shared" si="13"/>
        <v>0</v>
      </c>
      <c r="AA105" s="84">
        <f t="shared" si="13"/>
        <v>0</v>
      </c>
      <c r="AB105" s="84">
        <f t="shared" si="13"/>
        <v>0</v>
      </c>
      <c r="AC105" s="84">
        <f t="shared" si="13"/>
        <v>0</v>
      </c>
      <c r="AD105" s="84">
        <f t="shared" si="13"/>
        <v>0</v>
      </c>
      <c r="AE105" s="84">
        <f t="shared" si="13"/>
        <v>0</v>
      </c>
      <c r="AF105" s="85">
        <f>$P105*$R105</f>
        <v>0</v>
      </c>
    </row>
    <row r="106" spans="1:32" s="83" customFormat="1" x14ac:dyDescent="0.3">
      <c r="A106" s="78" t="s">
        <v>36</v>
      </c>
      <c r="B106" s="79" t="s">
        <v>272</v>
      </c>
      <c r="C106" s="79" t="s">
        <v>20</v>
      </c>
      <c r="D106" s="79" t="s">
        <v>256</v>
      </c>
      <c r="E106" s="80">
        <v>0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>
        <f t="shared" ref="P106:P107" si="19">SUM(G106:O106)</f>
        <v>0</v>
      </c>
      <c r="Q106" s="80">
        <f t="shared" ref="Q106:Q107" si="20">E106+F106-P106</f>
        <v>0</v>
      </c>
      <c r="R106" s="81">
        <v>780</v>
      </c>
      <c r="S106" s="82">
        <f>Q106*R106</f>
        <v>0</v>
      </c>
      <c r="U106" s="80"/>
      <c r="W106" s="84">
        <f t="shared" si="13"/>
        <v>0</v>
      </c>
      <c r="X106" s="84">
        <f t="shared" si="13"/>
        <v>0</v>
      </c>
      <c r="Y106" s="84">
        <f t="shared" si="13"/>
        <v>0</v>
      </c>
      <c r="Z106" s="84">
        <f t="shared" si="13"/>
        <v>0</v>
      </c>
      <c r="AA106" s="84">
        <f t="shared" si="13"/>
        <v>0</v>
      </c>
      <c r="AB106" s="84">
        <f t="shared" si="13"/>
        <v>0</v>
      </c>
      <c r="AC106" s="84">
        <f t="shared" si="13"/>
        <v>0</v>
      </c>
      <c r="AD106" s="84">
        <f t="shared" si="13"/>
        <v>0</v>
      </c>
      <c r="AE106" s="84">
        <f t="shared" si="13"/>
        <v>0</v>
      </c>
      <c r="AF106" s="85"/>
    </row>
    <row r="107" spans="1:32" s="83" customFormat="1" x14ac:dyDescent="0.3">
      <c r="A107" s="78" t="s">
        <v>36</v>
      </c>
      <c r="B107" s="79" t="s">
        <v>273</v>
      </c>
      <c r="C107" s="79" t="s">
        <v>20</v>
      </c>
      <c r="D107" s="79" t="s">
        <v>257</v>
      </c>
      <c r="E107" s="99">
        <v>0</v>
      </c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>
        <f t="shared" si="19"/>
        <v>0</v>
      </c>
      <c r="Q107" s="80">
        <f t="shared" si="20"/>
        <v>0</v>
      </c>
      <c r="R107" s="81">
        <v>780</v>
      </c>
      <c r="S107" s="82">
        <f>Q107*R107</f>
        <v>0</v>
      </c>
      <c r="U107" s="80"/>
      <c r="W107" s="84">
        <f t="shared" si="13"/>
        <v>0</v>
      </c>
      <c r="X107" s="84">
        <f t="shared" si="13"/>
        <v>0</v>
      </c>
      <c r="Y107" s="84">
        <f t="shared" si="13"/>
        <v>0</v>
      </c>
      <c r="Z107" s="84">
        <f t="shared" si="13"/>
        <v>0</v>
      </c>
      <c r="AA107" s="84">
        <f t="shared" si="13"/>
        <v>0</v>
      </c>
      <c r="AB107" s="84">
        <f t="shared" si="13"/>
        <v>0</v>
      </c>
      <c r="AC107" s="84">
        <f t="shared" si="13"/>
        <v>0</v>
      </c>
      <c r="AD107" s="84">
        <f t="shared" si="13"/>
        <v>0</v>
      </c>
      <c r="AE107" s="84">
        <f t="shared" si="13"/>
        <v>0</v>
      </c>
      <c r="AF107" s="85"/>
    </row>
    <row r="108" spans="1:32" s="83" customFormat="1" x14ac:dyDescent="0.3">
      <c r="A108" s="78" t="s">
        <v>36</v>
      </c>
      <c r="B108" s="79" t="s">
        <v>274</v>
      </c>
      <c r="C108" s="79" t="s">
        <v>20</v>
      </c>
      <c r="D108" s="79" t="s">
        <v>258</v>
      </c>
      <c r="E108" s="80">
        <v>0</v>
      </c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>
        <f>SUM(G108:O108)</f>
        <v>0</v>
      </c>
      <c r="Q108" s="80">
        <f>E108+F108-P108</f>
        <v>0</v>
      </c>
      <c r="R108" s="81">
        <v>780</v>
      </c>
      <c r="S108" s="82">
        <f>Q108*R108</f>
        <v>0</v>
      </c>
      <c r="U108" s="80">
        <v>0</v>
      </c>
      <c r="V108" s="83">
        <f>Q108+U108</f>
        <v>0</v>
      </c>
      <c r="W108" s="84">
        <f t="shared" si="13"/>
        <v>0</v>
      </c>
      <c r="X108" s="84">
        <f t="shared" si="13"/>
        <v>0</v>
      </c>
      <c r="Y108" s="84">
        <f t="shared" si="13"/>
        <v>0</v>
      </c>
      <c r="Z108" s="84">
        <f t="shared" si="13"/>
        <v>0</v>
      </c>
      <c r="AA108" s="84">
        <f t="shared" si="13"/>
        <v>0</v>
      </c>
      <c r="AB108" s="84">
        <f t="shared" si="13"/>
        <v>0</v>
      </c>
      <c r="AC108" s="84">
        <f t="shared" si="13"/>
        <v>0</v>
      </c>
      <c r="AD108" s="84">
        <f t="shared" si="13"/>
        <v>0</v>
      </c>
      <c r="AE108" s="84">
        <f t="shared" si="13"/>
        <v>0</v>
      </c>
      <c r="AF108" s="85">
        <f>$P108*$R108</f>
        <v>0</v>
      </c>
    </row>
    <row r="109" spans="1:32" s="83" customFormat="1" x14ac:dyDescent="0.3">
      <c r="A109" s="78" t="s">
        <v>36</v>
      </c>
      <c r="B109" s="79" t="s">
        <v>275</v>
      </c>
      <c r="C109" s="79" t="s">
        <v>20</v>
      </c>
      <c r="D109" s="79" t="s">
        <v>259</v>
      </c>
      <c r="E109" s="80">
        <v>7</v>
      </c>
      <c r="F109" s="80"/>
      <c r="G109" s="80">
        <v>2</v>
      </c>
      <c r="H109" s="80"/>
      <c r="I109" s="80"/>
      <c r="J109" s="80"/>
      <c r="K109" s="80"/>
      <c r="L109" s="80">
        <v>1</v>
      </c>
      <c r="M109" s="80"/>
      <c r="N109" s="80"/>
      <c r="O109" s="80"/>
      <c r="P109" s="80">
        <f t="shared" si="14"/>
        <v>3</v>
      </c>
      <c r="Q109" s="80">
        <f t="shared" si="15"/>
        <v>4</v>
      </c>
      <c r="R109" s="81">
        <v>320</v>
      </c>
      <c r="S109" s="82">
        <f t="shared" si="16"/>
        <v>1280</v>
      </c>
      <c r="U109" s="80">
        <v>10</v>
      </c>
      <c r="V109" s="83">
        <f t="shared" si="17"/>
        <v>14</v>
      </c>
      <c r="W109" s="84">
        <f t="shared" si="13"/>
        <v>640</v>
      </c>
      <c r="X109" s="84">
        <f t="shared" si="13"/>
        <v>0</v>
      </c>
      <c r="Y109" s="84">
        <f t="shared" si="13"/>
        <v>0</v>
      </c>
      <c r="Z109" s="84">
        <f t="shared" si="13"/>
        <v>0</v>
      </c>
      <c r="AA109" s="84">
        <f t="shared" si="13"/>
        <v>0</v>
      </c>
      <c r="AB109" s="84">
        <f t="shared" si="13"/>
        <v>320</v>
      </c>
      <c r="AC109" s="84">
        <f t="shared" si="13"/>
        <v>0</v>
      </c>
      <c r="AD109" s="84">
        <f t="shared" si="13"/>
        <v>0</v>
      </c>
      <c r="AE109" s="84">
        <f t="shared" si="13"/>
        <v>0</v>
      </c>
      <c r="AF109" s="85">
        <f t="shared" si="18"/>
        <v>960</v>
      </c>
    </row>
    <row r="110" spans="1:32" s="83" customFormat="1" x14ac:dyDescent="0.3">
      <c r="A110" s="78" t="s">
        <v>36</v>
      </c>
      <c r="B110" s="79" t="s">
        <v>276</v>
      </c>
      <c r="C110" s="79" t="s">
        <v>20</v>
      </c>
      <c r="D110" s="79" t="s">
        <v>260</v>
      </c>
      <c r="E110" s="80">
        <v>9</v>
      </c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>
        <f t="shared" si="14"/>
        <v>0</v>
      </c>
      <c r="Q110" s="80">
        <f t="shared" si="15"/>
        <v>9</v>
      </c>
      <c r="R110" s="81">
        <v>320</v>
      </c>
      <c r="S110" s="82">
        <f t="shared" si="16"/>
        <v>2880</v>
      </c>
      <c r="U110" s="80">
        <v>18</v>
      </c>
      <c r="V110" s="83">
        <f t="shared" si="17"/>
        <v>27</v>
      </c>
      <c r="W110" s="84">
        <f t="shared" si="13"/>
        <v>0</v>
      </c>
      <c r="X110" s="84">
        <f t="shared" si="13"/>
        <v>0</v>
      </c>
      <c r="Y110" s="84">
        <f t="shared" si="13"/>
        <v>0</v>
      </c>
      <c r="Z110" s="84">
        <f t="shared" si="13"/>
        <v>0</v>
      </c>
      <c r="AA110" s="84">
        <f t="shared" si="13"/>
        <v>0</v>
      </c>
      <c r="AB110" s="84">
        <f t="shared" si="13"/>
        <v>0</v>
      </c>
      <c r="AC110" s="84">
        <f t="shared" si="13"/>
        <v>0</v>
      </c>
      <c r="AD110" s="84">
        <f t="shared" si="13"/>
        <v>0</v>
      </c>
      <c r="AE110" s="84">
        <f t="shared" si="13"/>
        <v>0</v>
      </c>
      <c r="AF110" s="85">
        <f t="shared" si="18"/>
        <v>0</v>
      </c>
    </row>
    <row r="111" spans="1:32" s="83" customFormat="1" x14ac:dyDescent="0.3">
      <c r="A111" s="78" t="s">
        <v>36</v>
      </c>
      <c r="B111" s="79" t="s">
        <v>277</v>
      </c>
      <c r="C111" s="79" t="s">
        <v>20</v>
      </c>
      <c r="D111" s="79" t="s">
        <v>261</v>
      </c>
      <c r="E111" s="80">
        <v>9</v>
      </c>
      <c r="F111" s="80"/>
      <c r="G111" s="80">
        <v>1</v>
      </c>
      <c r="H111" s="80"/>
      <c r="I111" s="80"/>
      <c r="J111" s="80"/>
      <c r="K111" s="80"/>
      <c r="L111" s="80"/>
      <c r="M111" s="80"/>
      <c r="N111" s="80"/>
      <c r="O111" s="80"/>
      <c r="P111" s="80">
        <f t="shared" si="14"/>
        <v>1</v>
      </c>
      <c r="Q111" s="80">
        <f t="shared" si="15"/>
        <v>8</v>
      </c>
      <c r="R111" s="81">
        <v>320</v>
      </c>
      <c r="S111" s="82">
        <f t="shared" si="16"/>
        <v>2560</v>
      </c>
      <c r="U111" s="80">
        <v>20</v>
      </c>
      <c r="V111" s="83">
        <f t="shared" si="17"/>
        <v>28</v>
      </c>
      <c r="W111" s="84">
        <f t="shared" si="13"/>
        <v>320</v>
      </c>
      <c r="X111" s="84">
        <f t="shared" si="13"/>
        <v>0</v>
      </c>
      <c r="Y111" s="84">
        <f t="shared" si="13"/>
        <v>0</v>
      </c>
      <c r="Z111" s="84">
        <f t="shared" si="13"/>
        <v>0</v>
      </c>
      <c r="AA111" s="84">
        <f t="shared" si="13"/>
        <v>0</v>
      </c>
      <c r="AB111" s="84">
        <f t="shared" si="13"/>
        <v>0</v>
      </c>
      <c r="AC111" s="84">
        <f t="shared" si="13"/>
        <v>0</v>
      </c>
      <c r="AD111" s="84">
        <f t="shared" si="13"/>
        <v>0</v>
      </c>
      <c r="AE111" s="84">
        <f t="shared" si="13"/>
        <v>0</v>
      </c>
      <c r="AF111" s="85">
        <f t="shared" si="18"/>
        <v>320</v>
      </c>
    </row>
    <row r="112" spans="1:32" s="83" customFormat="1" x14ac:dyDescent="0.3">
      <c r="A112" s="78" t="s">
        <v>36</v>
      </c>
      <c r="B112" s="79" t="s">
        <v>278</v>
      </c>
      <c r="C112" s="79" t="s">
        <v>20</v>
      </c>
      <c r="D112" s="79" t="s">
        <v>262</v>
      </c>
      <c r="E112" s="80">
        <v>12</v>
      </c>
      <c r="F112" s="80"/>
      <c r="G112" s="80">
        <v>1</v>
      </c>
      <c r="H112" s="80"/>
      <c r="I112" s="80"/>
      <c r="J112" s="80"/>
      <c r="K112" s="80"/>
      <c r="L112" s="80">
        <v>1</v>
      </c>
      <c r="M112" s="80"/>
      <c r="N112" s="80"/>
      <c r="O112" s="80"/>
      <c r="P112" s="80">
        <f t="shared" si="14"/>
        <v>2</v>
      </c>
      <c r="Q112" s="80">
        <f t="shared" si="15"/>
        <v>10</v>
      </c>
      <c r="R112" s="81">
        <v>320</v>
      </c>
      <c r="S112" s="82">
        <f t="shared" si="16"/>
        <v>3200</v>
      </c>
      <c r="U112" s="80">
        <v>19</v>
      </c>
      <c r="V112" s="83">
        <f t="shared" si="17"/>
        <v>29</v>
      </c>
      <c r="W112" s="84">
        <f t="shared" si="13"/>
        <v>320</v>
      </c>
      <c r="X112" s="84">
        <f t="shared" si="13"/>
        <v>0</v>
      </c>
      <c r="Y112" s="84">
        <f t="shared" si="13"/>
        <v>0</v>
      </c>
      <c r="Z112" s="84">
        <f t="shared" si="13"/>
        <v>0</v>
      </c>
      <c r="AA112" s="84">
        <f t="shared" si="13"/>
        <v>0</v>
      </c>
      <c r="AB112" s="84">
        <f t="shared" si="13"/>
        <v>320</v>
      </c>
      <c r="AC112" s="84">
        <f t="shared" si="13"/>
        <v>0</v>
      </c>
      <c r="AD112" s="84">
        <f t="shared" si="13"/>
        <v>0</v>
      </c>
      <c r="AE112" s="84">
        <f t="shared" si="13"/>
        <v>0</v>
      </c>
      <c r="AF112" s="85">
        <f t="shared" si="18"/>
        <v>640</v>
      </c>
    </row>
    <row r="113" spans="1:33" s="83" customFormat="1" x14ac:dyDescent="0.3">
      <c r="A113" s="78" t="s">
        <v>36</v>
      </c>
      <c r="B113" s="79" t="s">
        <v>279</v>
      </c>
      <c r="C113" s="79" t="s">
        <v>20</v>
      </c>
      <c r="D113" s="79" t="s">
        <v>263</v>
      </c>
      <c r="E113" s="80">
        <v>0</v>
      </c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>
        <f t="shared" ref="P113:P116" si="21">SUM(G113:O113)</f>
        <v>0</v>
      </c>
      <c r="Q113" s="80">
        <f t="shared" si="15"/>
        <v>0</v>
      </c>
      <c r="R113" s="81">
        <v>360</v>
      </c>
      <c r="S113" s="82">
        <f t="shared" si="16"/>
        <v>0</v>
      </c>
      <c r="U113" s="80">
        <v>20</v>
      </c>
      <c r="V113" s="83">
        <f t="shared" si="17"/>
        <v>20</v>
      </c>
      <c r="W113" s="84">
        <f t="shared" si="13"/>
        <v>0</v>
      </c>
      <c r="X113" s="84">
        <f t="shared" si="13"/>
        <v>0</v>
      </c>
      <c r="Y113" s="84">
        <f t="shared" si="13"/>
        <v>0</v>
      </c>
      <c r="Z113" s="84">
        <f t="shared" si="13"/>
        <v>0</v>
      </c>
      <c r="AA113" s="84">
        <f t="shared" si="13"/>
        <v>0</v>
      </c>
      <c r="AB113" s="84">
        <f t="shared" si="13"/>
        <v>0</v>
      </c>
      <c r="AC113" s="84">
        <f t="shared" si="13"/>
        <v>0</v>
      </c>
      <c r="AD113" s="84">
        <f t="shared" si="13"/>
        <v>0</v>
      </c>
      <c r="AE113" s="84">
        <f t="shared" si="13"/>
        <v>0</v>
      </c>
      <c r="AF113" s="85">
        <f t="shared" si="18"/>
        <v>0</v>
      </c>
    </row>
    <row r="114" spans="1:33" s="83" customFormat="1" x14ac:dyDescent="0.3">
      <c r="A114" s="78" t="s">
        <v>36</v>
      </c>
      <c r="B114" s="79" t="s">
        <v>280</v>
      </c>
      <c r="C114" s="79" t="s">
        <v>20</v>
      </c>
      <c r="D114" s="79" t="s">
        <v>264</v>
      </c>
      <c r="E114" s="80">
        <v>0</v>
      </c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>
        <f t="shared" si="21"/>
        <v>0</v>
      </c>
      <c r="Q114" s="80">
        <f t="shared" si="15"/>
        <v>0</v>
      </c>
      <c r="R114" s="81">
        <v>360</v>
      </c>
      <c r="S114" s="82">
        <f t="shared" si="16"/>
        <v>0</v>
      </c>
      <c r="U114" s="80">
        <v>20</v>
      </c>
      <c r="V114" s="83">
        <f t="shared" si="17"/>
        <v>20</v>
      </c>
      <c r="W114" s="84">
        <f t="shared" si="13"/>
        <v>0</v>
      </c>
      <c r="X114" s="84">
        <f t="shared" si="13"/>
        <v>0</v>
      </c>
      <c r="Y114" s="84">
        <f t="shared" si="13"/>
        <v>0</v>
      </c>
      <c r="Z114" s="84">
        <f t="shared" si="13"/>
        <v>0</v>
      </c>
      <c r="AA114" s="84">
        <f t="shared" si="13"/>
        <v>0</v>
      </c>
      <c r="AB114" s="84">
        <f t="shared" si="13"/>
        <v>0</v>
      </c>
      <c r="AC114" s="84">
        <f t="shared" si="13"/>
        <v>0</v>
      </c>
      <c r="AD114" s="84">
        <f t="shared" si="13"/>
        <v>0</v>
      </c>
      <c r="AE114" s="84">
        <f t="shared" si="13"/>
        <v>0</v>
      </c>
      <c r="AF114" s="85">
        <f t="shared" si="18"/>
        <v>0</v>
      </c>
    </row>
    <row r="115" spans="1:33" s="83" customFormat="1" x14ac:dyDescent="0.3">
      <c r="A115" s="78" t="s">
        <v>36</v>
      </c>
      <c r="B115" s="79" t="s">
        <v>281</v>
      </c>
      <c r="C115" s="79" t="s">
        <v>20</v>
      </c>
      <c r="D115" s="79" t="s">
        <v>265</v>
      </c>
      <c r="E115" s="80">
        <v>0</v>
      </c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>
        <f t="shared" si="21"/>
        <v>0</v>
      </c>
      <c r="Q115" s="80">
        <f t="shared" si="15"/>
        <v>0</v>
      </c>
      <c r="R115" s="81">
        <v>360</v>
      </c>
      <c r="S115" s="82">
        <f t="shared" si="16"/>
        <v>0</v>
      </c>
      <c r="U115" s="80">
        <v>20</v>
      </c>
      <c r="V115" s="83">
        <f t="shared" si="17"/>
        <v>20</v>
      </c>
      <c r="W115" s="84">
        <f t="shared" si="13"/>
        <v>0</v>
      </c>
      <c r="X115" s="84">
        <f t="shared" si="13"/>
        <v>0</v>
      </c>
      <c r="Y115" s="84">
        <f t="shared" si="13"/>
        <v>0</v>
      </c>
      <c r="Z115" s="84">
        <f t="shared" si="13"/>
        <v>0</v>
      </c>
      <c r="AA115" s="84">
        <f t="shared" si="13"/>
        <v>0</v>
      </c>
      <c r="AB115" s="84">
        <f t="shared" si="13"/>
        <v>0</v>
      </c>
      <c r="AC115" s="84">
        <f t="shared" si="13"/>
        <v>0</v>
      </c>
      <c r="AD115" s="84">
        <f t="shared" si="13"/>
        <v>0</v>
      </c>
      <c r="AE115" s="84">
        <f t="shared" si="13"/>
        <v>0</v>
      </c>
      <c r="AF115" s="85">
        <f t="shared" si="18"/>
        <v>0</v>
      </c>
    </row>
    <row r="116" spans="1:33" s="83" customFormat="1" x14ac:dyDescent="0.3">
      <c r="A116" s="78" t="s">
        <v>36</v>
      </c>
      <c r="B116" s="79" t="s">
        <v>282</v>
      </c>
      <c r="C116" s="79" t="s">
        <v>20</v>
      </c>
      <c r="D116" s="79" t="s">
        <v>266</v>
      </c>
      <c r="E116" s="80">
        <v>0</v>
      </c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>
        <f t="shared" si="21"/>
        <v>0</v>
      </c>
      <c r="Q116" s="80">
        <f t="shared" si="15"/>
        <v>0</v>
      </c>
      <c r="R116" s="81">
        <v>360</v>
      </c>
      <c r="S116" s="82">
        <f t="shared" si="16"/>
        <v>0</v>
      </c>
      <c r="U116" s="80">
        <v>20</v>
      </c>
      <c r="V116" s="83">
        <f t="shared" si="17"/>
        <v>20</v>
      </c>
      <c r="W116" s="84">
        <f t="shared" si="13"/>
        <v>0</v>
      </c>
      <c r="X116" s="84">
        <f t="shared" si="13"/>
        <v>0</v>
      </c>
      <c r="Y116" s="84">
        <f t="shared" si="13"/>
        <v>0</v>
      </c>
      <c r="Z116" s="84">
        <f t="shared" si="13"/>
        <v>0</v>
      </c>
      <c r="AA116" s="84">
        <f t="shared" si="13"/>
        <v>0</v>
      </c>
      <c r="AB116" s="84">
        <f t="shared" si="13"/>
        <v>0</v>
      </c>
      <c r="AC116" s="84">
        <f t="shared" si="13"/>
        <v>0</v>
      </c>
      <c r="AD116" s="84">
        <f t="shared" si="13"/>
        <v>0</v>
      </c>
      <c r="AE116" s="84">
        <f t="shared" si="13"/>
        <v>0</v>
      </c>
      <c r="AF116" s="85">
        <f t="shared" si="18"/>
        <v>0</v>
      </c>
    </row>
    <row r="117" spans="1:33" s="83" customFormat="1" x14ac:dyDescent="0.3">
      <c r="A117" s="78" t="s">
        <v>36</v>
      </c>
      <c r="B117" s="79" t="s">
        <v>283</v>
      </c>
      <c r="C117" s="79" t="s">
        <v>20</v>
      </c>
      <c r="D117" s="79" t="s">
        <v>267</v>
      </c>
      <c r="E117" s="80">
        <v>0</v>
      </c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>
        <f>SUM(G117:O117)</f>
        <v>0</v>
      </c>
      <c r="Q117" s="80">
        <f>E117+F117-P117</f>
        <v>0</v>
      </c>
      <c r="R117" s="81">
        <v>430</v>
      </c>
      <c r="S117" s="82">
        <f>Q117*R117</f>
        <v>0</v>
      </c>
      <c r="U117" s="80">
        <v>0</v>
      </c>
      <c r="V117" s="83">
        <f t="shared" si="17"/>
        <v>0</v>
      </c>
      <c r="W117" s="84">
        <f t="shared" si="13"/>
        <v>0</v>
      </c>
      <c r="X117" s="84">
        <f t="shared" si="13"/>
        <v>0</v>
      </c>
      <c r="Y117" s="84">
        <f t="shared" si="13"/>
        <v>0</v>
      </c>
      <c r="Z117" s="84">
        <f t="shared" si="13"/>
        <v>0</v>
      </c>
      <c r="AA117" s="84">
        <f t="shared" si="13"/>
        <v>0</v>
      </c>
      <c r="AB117" s="84">
        <f t="shared" si="13"/>
        <v>0</v>
      </c>
      <c r="AC117" s="84">
        <f t="shared" si="13"/>
        <v>0</v>
      </c>
      <c r="AD117" s="84">
        <f t="shared" si="13"/>
        <v>0</v>
      </c>
      <c r="AE117" s="84">
        <f t="shared" si="13"/>
        <v>0</v>
      </c>
      <c r="AF117" s="85">
        <f t="shared" si="18"/>
        <v>0</v>
      </c>
    </row>
    <row r="118" spans="1:33" s="83" customFormat="1" x14ac:dyDescent="0.3">
      <c r="A118" s="78" t="s">
        <v>36</v>
      </c>
      <c r="B118" s="79" t="s">
        <v>284</v>
      </c>
      <c r="C118" s="79" t="s">
        <v>20</v>
      </c>
      <c r="D118" s="79" t="s">
        <v>268</v>
      </c>
      <c r="E118" s="80">
        <v>0</v>
      </c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>
        <f>SUM(G118:O118)</f>
        <v>0</v>
      </c>
      <c r="Q118" s="80">
        <f>E118+F118-P118</f>
        <v>0</v>
      </c>
      <c r="R118" s="81">
        <v>430</v>
      </c>
      <c r="S118" s="82">
        <f>Q118*R118</f>
        <v>0</v>
      </c>
      <c r="U118" s="80">
        <v>7</v>
      </c>
      <c r="V118" s="83">
        <f t="shared" si="17"/>
        <v>7</v>
      </c>
      <c r="W118" s="84">
        <f t="shared" ref="W118:AG133" si="22">G118*$R118</f>
        <v>0</v>
      </c>
      <c r="X118" s="84">
        <f t="shared" si="22"/>
        <v>0</v>
      </c>
      <c r="Y118" s="84">
        <f t="shared" si="22"/>
        <v>0</v>
      </c>
      <c r="Z118" s="84">
        <f t="shared" si="22"/>
        <v>0</v>
      </c>
      <c r="AA118" s="84">
        <f t="shared" si="22"/>
        <v>0</v>
      </c>
      <c r="AB118" s="84">
        <f t="shared" si="22"/>
        <v>0</v>
      </c>
      <c r="AC118" s="84">
        <f t="shared" si="22"/>
        <v>0</v>
      </c>
      <c r="AD118" s="84">
        <f t="shared" si="22"/>
        <v>0</v>
      </c>
      <c r="AE118" s="84">
        <f t="shared" si="22"/>
        <v>0</v>
      </c>
      <c r="AF118" s="85">
        <f t="shared" si="18"/>
        <v>0</v>
      </c>
    </row>
    <row r="119" spans="1:33" s="83" customFormat="1" x14ac:dyDescent="0.3">
      <c r="A119" s="78" t="s">
        <v>36</v>
      </c>
      <c r="B119" s="79" t="s">
        <v>285</v>
      </c>
      <c r="C119" s="79" t="s">
        <v>20</v>
      </c>
      <c r="D119" s="79" t="s">
        <v>269</v>
      </c>
      <c r="E119" s="80">
        <v>0</v>
      </c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>
        <f>SUM(G119:O119)</f>
        <v>0</v>
      </c>
      <c r="Q119" s="80">
        <f>E119+F119-P119</f>
        <v>0</v>
      </c>
      <c r="R119" s="81">
        <v>430</v>
      </c>
      <c r="S119" s="82">
        <f>Q119*R119</f>
        <v>0</v>
      </c>
      <c r="U119" s="80">
        <v>9</v>
      </c>
      <c r="V119" s="83">
        <f t="shared" si="17"/>
        <v>9</v>
      </c>
      <c r="W119" s="84">
        <f t="shared" si="22"/>
        <v>0</v>
      </c>
      <c r="X119" s="84">
        <f t="shared" si="22"/>
        <v>0</v>
      </c>
      <c r="Y119" s="84">
        <f t="shared" si="22"/>
        <v>0</v>
      </c>
      <c r="Z119" s="84">
        <f t="shared" si="22"/>
        <v>0</v>
      </c>
      <c r="AA119" s="84">
        <f t="shared" si="22"/>
        <v>0</v>
      </c>
      <c r="AB119" s="84">
        <f t="shared" si="22"/>
        <v>0</v>
      </c>
      <c r="AC119" s="84">
        <f t="shared" si="22"/>
        <v>0</v>
      </c>
      <c r="AD119" s="84">
        <f t="shared" si="22"/>
        <v>0</v>
      </c>
      <c r="AE119" s="84">
        <f t="shared" si="22"/>
        <v>0</v>
      </c>
      <c r="AF119" s="85">
        <f t="shared" si="18"/>
        <v>0</v>
      </c>
    </row>
    <row r="120" spans="1:33" s="83" customFormat="1" x14ac:dyDescent="0.3">
      <c r="A120" s="78" t="s">
        <v>36</v>
      </c>
      <c r="B120" s="79" t="s">
        <v>286</v>
      </c>
      <c r="C120" s="79" t="s">
        <v>20</v>
      </c>
      <c r="D120" s="79" t="s">
        <v>270</v>
      </c>
      <c r="E120" s="80">
        <v>0</v>
      </c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>
        <f>SUM(G120:O120)</f>
        <v>0</v>
      </c>
      <c r="Q120" s="80">
        <f>E120+F120-P120</f>
        <v>0</v>
      </c>
      <c r="R120" s="81">
        <v>430</v>
      </c>
      <c r="S120" s="82">
        <f>Q120*R120</f>
        <v>0</v>
      </c>
      <c r="U120" s="80">
        <v>7</v>
      </c>
      <c r="V120" s="83">
        <f t="shared" si="17"/>
        <v>7</v>
      </c>
      <c r="W120" s="84">
        <f t="shared" si="22"/>
        <v>0</v>
      </c>
      <c r="X120" s="84">
        <f t="shared" si="22"/>
        <v>0</v>
      </c>
      <c r="Y120" s="84">
        <f t="shared" si="22"/>
        <v>0</v>
      </c>
      <c r="Z120" s="84">
        <f t="shared" si="22"/>
        <v>0</v>
      </c>
      <c r="AA120" s="84">
        <f t="shared" si="22"/>
        <v>0</v>
      </c>
      <c r="AB120" s="84">
        <f t="shared" si="22"/>
        <v>0</v>
      </c>
      <c r="AC120" s="84">
        <f t="shared" si="22"/>
        <v>0</v>
      </c>
      <c r="AD120" s="84">
        <f t="shared" si="22"/>
        <v>0</v>
      </c>
      <c r="AE120" s="84">
        <f t="shared" si="22"/>
        <v>0</v>
      </c>
      <c r="AF120" s="85">
        <f t="shared" si="18"/>
        <v>0</v>
      </c>
    </row>
    <row r="121" spans="1:33" s="36" customFormat="1" x14ac:dyDescent="0.3">
      <c r="A121" s="86" t="s">
        <v>36</v>
      </c>
      <c r="B121" s="87" t="s">
        <v>292</v>
      </c>
      <c r="C121" s="87" t="s">
        <v>370</v>
      </c>
      <c r="D121" s="87" t="s">
        <v>287</v>
      </c>
      <c r="E121" s="88">
        <v>15</v>
      </c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>
        <f t="shared" ref="P121:P122" si="23">SUM(G121:O121)</f>
        <v>0</v>
      </c>
      <c r="Q121" s="88">
        <f t="shared" ref="Q121:Q128" si="24">E121+F121-P121</f>
        <v>15</v>
      </c>
      <c r="R121" s="89">
        <v>35</v>
      </c>
      <c r="S121" s="90">
        <f t="shared" ref="S121:S162" si="25">Q121*R121</f>
        <v>525</v>
      </c>
      <c r="U121" s="36">
        <v>5</v>
      </c>
      <c r="V121" s="36">
        <f t="shared" si="17"/>
        <v>20</v>
      </c>
      <c r="W121" s="91">
        <f t="shared" si="22"/>
        <v>0</v>
      </c>
      <c r="X121" s="91">
        <f t="shared" si="22"/>
        <v>0</v>
      </c>
      <c r="Y121" s="91">
        <f t="shared" si="22"/>
        <v>0</v>
      </c>
      <c r="Z121" s="91">
        <f t="shared" si="22"/>
        <v>0</v>
      </c>
      <c r="AA121" s="91">
        <f t="shared" si="22"/>
        <v>0</v>
      </c>
      <c r="AB121" s="91">
        <f t="shared" si="22"/>
        <v>0</v>
      </c>
      <c r="AC121" s="91">
        <f t="shared" si="22"/>
        <v>0</v>
      </c>
      <c r="AD121" s="91">
        <f t="shared" si="22"/>
        <v>0</v>
      </c>
      <c r="AE121" s="91">
        <f t="shared" si="22"/>
        <v>0</v>
      </c>
      <c r="AF121" s="91">
        <f t="shared" si="22"/>
        <v>0</v>
      </c>
      <c r="AG121" s="91">
        <f t="shared" si="22"/>
        <v>525</v>
      </c>
    </row>
    <row r="122" spans="1:33" s="36" customFormat="1" x14ac:dyDescent="0.3">
      <c r="A122" s="86" t="s">
        <v>36</v>
      </c>
      <c r="B122" s="87" t="s">
        <v>291</v>
      </c>
      <c r="C122" s="87" t="s">
        <v>370</v>
      </c>
      <c r="D122" s="87" t="s">
        <v>288</v>
      </c>
      <c r="E122" s="88">
        <v>8</v>
      </c>
      <c r="F122" s="88">
        <v>20</v>
      </c>
      <c r="G122" s="88">
        <v>3</v>
      </c>
      <c r="H122" s="88">
        <v>3</v>
      </c>
      <c r="I122" s="88"/>
      <c r="J122" s="88">
        <v>1</v>
      </c>
      <c r="K122" s="88">
        <v>1</v>
      </c>
      <c r="L122" s="88"/>
      <c r="M122" s="88"/>
      <c r="N122" s="88">
        <v>1</v>
      </c>
      <c r="O122" s="88">
        <v>2</v>
      </c>
      <c r="P122" s="88">
        <f t="shared" si="23"/>
        <v>11</v>
      </c>
      <c r="Q122" s="88">
        <f t="shared" si="24"/>
        <v>17</v>
      </c>
      <c r="R122" s="89">
        <v>25</v>
      </c>
      <c r="S122" s="90">
        <f t="shared" si="25"/>
        <v>425</v>
      </c>
      <c r="U122" s="36">
        <v>0</v>
      </c>
      <c r="V122" s="36">
        <f t="shared" si="17"/>
        <v>17</v>
      </c>
      <c r="W122" s="91">
        <f t="shared" si="22"/>
        <v>75</v>
      </c>
      <c r="X122" s="91">
        <f t="shared" si="22"/>
        <v>75</v>
      </c>
      <c r="Y122" s="91">
        <f t="shared" si="22"/>
        <v>0</v>
      </c>
      <c r="Z122" s="91">
        <f t="shared" si="22"/>
        <v>25</v>
      </c>
      <c r="AA122" s="91">
        <f t="shared" si="22"/>
        <v>25</v>
      </c>
      <c r="AB122" s="91">
        <f t="shared" si="22"/>
        <v>0</v>
      </c>
      <c r="AC122" s="91">
        <f t="shared" si="22"/>
        <v>0</v>
      </c>
      <c r="AD122" s="91">
        <f t="shared" si="22"/>
        <v>25</v>
      </c>
      <c r="AE122" s="91">
        <f t="shared" si="22"/>
        <v>50</v>
      </c>
      <c r="AF122" s="91">
        <f t="shared" si="22"/>
        <v>275</v>
      </c>
      <c r="AG122" s="91">
        <f t="shared" si="22"/>
        <v>425</v>
      </c>
    </row>
    <row r="123" spans="1:33" s="12" customFormat="1" x14ac:dyDescent="0.3">
      <c r="A123" s="7" t="s">
        <v>37</v>
      </c>
      <c r="B123" s="8" t="s">
        <v>290</v>
      </c>
      <c r="C123" s="87" t="s">
        <v>370</v>
      </c>
      <c r="D123" s="8" t="s">
        <v>350</v>
      </c>
      <c r="E123" s="9">
        <v>48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>
        <f t="shared" ref="P123:P128" si="26">SUM(G123:O123)</f>
        <v>0</v>
      </c>
      <c r="Q123" s="9">
        <f t="shared" si="24"/>
        <v>48</v>
      </c>
      <c r="R123" s="10">
        <v>7</v>
      </c>
      <c r="S123" s="11">
        <f t="shared" si="25"/>
        <v>336</v>
      </c>
      <c r="U123" s="12">
        <v>800</v>
      </c>
      <c r="V123" s="39">
        <f t="shared" si="17"/>
        <v>848</v>
      </c>
      <c r="W123" s="45">
        <f t="shared" si="22"/>
        <v>0</v>
      </c>
      <c r="X123" s="45">
        <f t="shared" si="22"/>
        <v>0</v>
      </c>
      <c r="Y123" s="45">
        <f t="shared" si="22"/>
        <v>0</v>
      </c>
      <c r="Z123" s="45">
        <f t="shared" si="22"/>
        <v>0</v>
      </c>
      <c r="AA123" s="45">
        <f t="shared" si="22"/>
        <v>0</v>
      </c>
      <c r="AB123" s="45">
        <f t="shared" si="22"/>
        <v>0</v>
      </c>
      <c r="AC123" s="45">
        <f t="shared" si="22"/>
        <v>0</v>
      </c>
      <c r="AD123" s="45">
        <f t="shared" si="22"/>
        <v>0</v>
      </c>
      <c r="AE123" s="45">
        <f t="shared" si="22"/>
        <v>0</v>
      </c>
      <c r="AF123" s="45">
        <f t="shared" si="22"/>
        <v>0</v>
      </c>
      <c r="AG123" s="45">
        <f t="shared" si="22"/>
        <v>336</v>
      </c>
    </row>
    <row r="124" spans="1:33" s="97" customFormat="1" x14ac:dyDescent="0.3">
      <c r="A124" s="92" t="s">
        <v>37</v>
      </c>
      <c r="B124" s="93" t="s">
        <v>293</v>
      </c>
      <c r="C124" s="87" t="s">
        <v>370</v>
      </c>
      <c r="D124" s="93" t="s">
        <v>289</v>
      </c>
      <c r="E124" s="94">
        <v>6</v>
      </c>
      <c r="F124" s="94"/>
      <c r="G124" s="94"/>
      <c r="H124" s="94"/>
      <c r="I124" s="94"/>
      <c r="J124" s="94"/>
      <c r="K124" s="94"/>
      <c r="L124" s="94">
        <v>2</v>
      </c>
      <c r="M124" s="94"/>
      <c r="N124" s="94"/>
      <c r="O124" s="94"/>
      <c r="P124" s="94">
        <f t="shared" si="26"/>
        <v>2</v>
      </c>
      <c r="Q124" s="94">
        <f t="shared" si="24"/>
        <v>4</v>
      </c>
      <c r="R124" s="95">
        <v>50</v>
      </c>
      <c r="S124" s="96">
        <f t="shared" si="25"/>
        <v>200</v>
      </c>
      <c r="U124" s="97">
        <v>14</v>
      </c>
      <c r="V124" s="97">
        <f t="shared" si="17"/>
        <v>18</v>
      </c>
      <c r="W124" s="98">
        <f t="shared" si="22"/>
        <v>0</v>
      </c>
      <c r="X124" s="98">
        <f t="shared" si="22"/>
        <v>0</v>
      </c>
      <c r="Y124" s="98">
        <f t="shared" si="22"/>
        <v>0</v>
      </c>
      <c r="Z124" s="98">
        <f t="shared" si="22"/>
        <v>0</v>
      </c>
      <c r="AA124" s="98">
        <f t="shared" si="22"/>
        <v>0</v>
      </c>
      <c r="AB124" s="98">
        <f t="shared" si="22"/>
        <v>100</v>
      </c>
      <c r="AC124" s="98">
        <f t="shared" si="22"/>
        <v>0</v>
      </c>
      <c r="AD124" s="98">
        <f t="shared" si="22"/>
        <v>0</v>
      </c>
      <c r="AE124" s="98">
        <f t="shared" si="22"/>
        <v>0</v>
      </c>
      <c r="AF124" s="98">
        <f t="shared" si="22"/>
        <v>100</v>
      </c>
      <c r="AG124" s="98">
        <f t="shared" si="22"/>
        <v>200</v>
      </c>
    </row>
    <row r="125" spans="1:33" s="97" customFormat="1" x14ac:dyDescent="0.3">
      <c r="A125" s="92" t="s">
        <v>37</v>
      </c>
      <c r="B125" s="93" t="s">
        <v>294</v>
      </c>
      <c r="C125" s="87" t="s">
        <v>370</v>
      </c>
      <c r="D125" s="93" t="s">
        <v>7</v>
      </c>
      <c r="E125" s="94">
        <v>0</v>
      </c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>
        <f t="shared" si="26"/>
        <v>0</v>
      </c>
      <c r="Q125" s="94">
        <f t="shared" si="24"/>
        <v>0</v>
      </c>
      <c r="R125" s="95">
        <v>50</v>
      </c>
      <c r="S125" s="96">
        <v>50</v>
      </c>
      <c r="U125" s="97">
        <v>0</v>
      </c>
      <c r="V125" s="97">
        <f t="shared" si="17"/>
        <v>0</v>
      </c>
      <c r="W125" s="98">
        <f t="shared" si="22"/>
        <v>0</v>
      </c>
      <c r="X125" s="98">
        <f t="shared" si="22"/>
        <v>0</v>
      </c>
      <c r="Y125" s="98">
        <f t="shared" si="22"/>
        <v>0</v>
      </c>
      <c r="Z125" s="98">
        <f t="shared" si="22"/>
        <v>0</v>
      </c>
      <c r="AA125" s="98">
        <f t="shared" si="22"/>
        <v>0</v>
      </c>
      <c r="AB125" s="98">
        <f t="shared" si="22"/>
        <v>0</v>
      </c>
      <c r="AC125" s="98">
        <f t="shared" si="22"/>
        <v>0</v>
      </c>
      <c r="AD125" s="98">
        <f t="shared" si="22"/>
        <v>0</v>
      </c>
      <c r="AE125" s="98">
        <f t="shared" si="22"/>
        <v>0</v>
      </c>
      <c r="AF125" s="98">
        <f t="shared" si="22"/>
        <v>0</v>
      </c>
      <c r="AG125" s="98">
        <f t="shared" si="22"/>
        <v>0</v>
      </c>
    </row>
    <row r="126" spans="1:33" s="97" customFormat="1" x14ac:dyDescent="0.3">
      <c r="A126" s="92" t="s">
        <v>37</v>
      </c>
      <c r="B126" s="93" t="s">
        <v>295</v>
      </c>
      <c r="C126" s="87" t="s">
        <v>370</v>
      </c>
      <c r="D126" s="93" t="s">
        <v>8</v>
      </c>
      <c r="E126" s="94">
        <v>0</v>
      </c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>
        <f t="shared" si="26"/>
        <v>0</v>
      </c>
      <c r="Q126" s="94">
        <f t="shared" si="24"/>
        <v>0</v>
      </c>
      <c r="R126" s="95">
        <v>3</v>
      </c>
      <c r="S126" s="96">
        <f t="shared" si="25"/>
        <v>0</v>
      </c>
      <c r="U126" s="94">
        <v>0</v>
      </c>
      <c r="V126" s="97">
        <f t="shared" si="17"/>
        <v>0</v>
      </c>
      <c r="W126" s="98">
        <f t="shared" si="22"/>
        <v>0</v>
      </c>
      <c r="X126" s="98">
        <f t="shared" si="22"/>
        <v>0</v>
      </c>
      <c r="Y126" s="98">
        <f t="shared" si="22"/>
        <v>0</v>
      </c>
      <c r="Z126" s="98">
        <f t="shared" si="22"/>
        <v>0</v>
      </c>
      <c r="AA126" s="98">
        <f t="shared" si="22"/>
        <v>0</v>
      </c>
      <c r="AB126" s="98">
        <f t="shared" si="22"/>
        <v>0</v>
      </c>
      <c r="AC126" s="98">
        <f t="shared" si="22"/>
        <v>0</v>
      </c>
      <c r="AD126" s="98">
        <f t="shared" si="22"/>
        <v>0</v>
      </c>
      <c r="AE126" s="98">
        <f t="shared" si="22"/>
        <v>0</v>
      </c>
      <c r="AF126" s="98">
        <f t="shared" si="22"/>
        <v>0</v>
      </c>
      <c r="AG126" s="98">
        <f t="shared" si="22"/>
        <v>0</v>
      </c>
    </row>
    <row r="127" spans="1:33" s="12" customFormat="1" x14ac:dyDescent="0.3">
      <c r="A127" s="7" t="s">
        <v>37</v>
      </c>
      <c r="B127" s="8" t="s">
        <v>296</v>
      </c>
      <c r="C127" s="87" t="s">
        <v>370</v>
      </c>
      <c r="D127" s="8" t="s">
        <v>355</v>
      </c>
      <c r="E127" s="9">
        <v>1</v>
      </c>
      <c r="F127" s="9"/>
      <c r="G127" s="9">
        <v>1</v>
      </c>
      <c r="H127" s="9"/>
      <c r="I127" s="9"/>
      <c r="J127" s="9"/>
      <c r="K127" s="9"/>
      <c r="L127" s="9"/>
      <c r="M127" s="9"/>
      <c r="N127" s="9"/>
      <c r="O127" s="9"/>
      <c r="P127" s="9">
        <f t="shared" si="26"/>
        <v>1</v>
      </c>
      <c r="Q127" s="9">
        <f t="shared" si="24"/>
        <v>0</v>
      </c>
      <c r="R127" s="10">
        <v>45</v>
      </c>
      <c r="S127" s="11">
        <f t="shared" si="25"/>
        <v>0</v>
      </c>
      <c r="U127" s="9">
        <v>0</v>
      </c>
      <c r="V127" s="39">
        <f t="shared" si="17"/>
        <v>0</v>
      </c>
      <c r="W127" s="45">
        <f t="shared" si="22"/>
        <v>45</v>
      </c>
      <c r="X127" s="45">
        <f t="shared" si="22"/>
        <v>0</v>
      </c>
      <c r="Y127" s="45">
        <f t="shared" si="22"/>
        <v>0</v>
      </c>
      <c r="Z127" s="45">
        <f t="shared" si="22"/>
        <v>0</v>
      </c>
      <c r="AA127" s="45">
        <f t="shared" si="22"/>
        <v>0</v>
      </c>
      <c r="AB127" s="45">
        <f t="shared" si="22"/>
        <v>0</v>
      </c>
      <c r="AC127" s="45">
        <f t="shared" si="22"/>
        <v>0</v>
      </c>
      <c r="AD127" s="45">
        <f t="shared" si="22"/>
        <v>0</v>
      </c>
      <c r="AE127" s="45">
        <f t="shared" si="22"/>
        <v>0</v>
      </c>
      <c r="AF127" s="45">
        <f t="shared" si="22"/>
        <v>45</v>
      </c>
      <c r="AG127" s="45">
        <f t="shared" si="22"/>
        <v>0</v>
      </c>
    </row>
    <row r="128" spans="1:33" s="12" customFormat="1" x14ac:dyDescent="0.3">
      <c r="A128" s="7" t="s">
        <v>37</v>
      </c>
      <c r="B128" s="8" t="s">
        <v>297</v>
      </c>
      <c r="C128" s="87" t="s">
        <v>370</v>
      </c>
      <c r="D128" s="8" t="s">
        <v>349</v>
      </c>
      <c r="E128" s="9">
        <v>0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>
        <f t="shared" si="26"/>
        <v>0</v>
      </c>
      <c r="Q128" s="9">
        <f t="shared" si="24"/>
        <v>0</v>
      </c>
      <c r="R128" s="10">
        <v>500</v>
      </c>
      <c r="S128" s="11">
        <f t="shared" si="25"/>
        <v>0</v>
      </c>
      <c r="U128" s="9">
        <v>0</v>
      </c>
      <c r="V128" s="39">
        <f t="shared" si="17"/>
        <v>0</v>
      </c>
      <c r="W128" s="45">
        <f t="shared" si="22"/>
        <v>0</v>
      </c>
      <c r="X128" s="45">
        <f t="shared" si="22"/>
        <v>0</v>
      </c>
      <c r="Y128" s="45">
        <f t="shared" si="22"/>
        <v>0</v>
      </c>
      <c r="Z128" s="45">
        <f t="shared" si="22"/>
        <v>0</v>
      </c>
      <c r="AA128" s="45">
        <f t="shared" si="22"/>
        <v>0</v>
      </c>
      <c r="AB128" s="45">
        <f t="shared" si="22"/>
        <v>0</v>
      </c>
      <c r="AC128" s="45">
        <f t="shared" si="22"/>
        <v>0</v>
      </c>
      <c r="AD128" s="45">
        <f t="shared" si="22"/>
        <v>0</v>
      </c>
      <c r="AE128" s="45">
        <f t="shared" si="22"/>
        <v>0</v>
      </c>
      <c r="AF128" s="45">
        <f t="shared" si="22"/>
        <v>0</v>
      </c>
      <c r="AG128" s="45">
        <f t="shared" si="22"/>
        <v>0</v>
      </c>
    </row>
    <row r="129" spans="1:33" s="12" customFormat="1" x14ac:dyDescent="0.3">
      <c r="A129" s="7" t="s">
        <v>37</v>
      </c>
      <c r="B129" s="8" t="s">
        <v>298</v>
      </c>
      <c r="C129" s="87" t="s">
        <v>370</v>
      </c>
      <c r="D129" s="8" t="s">
        <v>356</v>
      </c>
      <c r="E129" s="9">
        <v>3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>
        <f>SUM(G129:O129)</f>
        <v>0</v>
      </c>
      <c r="Q129" s="9">
        <f>E129+F129-P129</f>
        <v>3</v>
      </c>
      <c r="R129" s="10">
        <v>750</v>
      </c>
      <c r="S129" s="11">
        <f>Q129*R129</f>
        <v>2250</v>
      </c>
      <c r="U129" s="9">
        <v>1</v>
      </c>
      <c r="V129" s="39">
        <f>Q129+U129</f>
        <v>4</v>
      </c>
      <c r="W129" s="45">
        <f t="shared" si="22"/>
        <v>0</v>
      </c>
      <c r="X129" s="45">
        <f t="shared" si="22"/>
        <v>0</v>
      </c>
      <c r="Y129" s="45">
        <f t="shared" si="22"/>
        <v>0</v>
      </c>
      <c r="Z129" s="45">
        <f t="shared" si="22"/>
        <v>0</v>
      </c>
      <c r="AA129" s="45">
        <f t="shared" si="22"/>
        <v>0</v>
      </c>
      <c r="AB129" s="45">
        <f t="shared" si="22"/>
        <v>0</v>
      </c>
      <c r="AC129" s="45">
        <f t="shared" si="22"/>
        <v>0</v>
      </c>
      <c r="AD129" s="45">
        <f t="shared" si="22"/>
        <v>0</v>
      </c>
      <c r="AE129" s="45">
        <f t="shared" si="22"/>
        <v>0</v>
      </c>
      <c r="AF129" s="45">
        <f t="shared" si="22"/>
        <v>0</v>
      </c>
      <c r="AG129" s="45">
        <f t="shared" si="22"/>
        <v>2250</v>
      </c>
    </row>
    <row r="130" spans="1:33" s="31" customFormat="1" x14ac:dyDescent="0.3">
      <c r="A130" s="28"/>
      <c r="B130" s="29" t="s">
        <v>45</v>
      </c>
      <c r="C130" s="29"/>
      <c r="D130" s="29" t="s">
        <v>106</v>
      </c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30"/>
      <c r="S130" s="11"/>
      <c r="V130" s="39"/>
      <c r="W130" s="45"/>
      <c r="X130" s="45"/>
      <c r="Y130" s="45"/>
      <c r="Z130" s="45">
        <f t="shared" si="22"/>
        <v>0</v>
      </c>
      <c r="AA130" s="45">
        <f t="shared" si="22"/>
        <v>0</v>
      </c>
      <c r="AB130" s="45">
        <f t="shared" si="22"/>
        <v>0</v>
      </c>
      <c r="AC130" s="45"/>
      <c r="AD130" s="45"/>
      <c r="AE130" s="45"/>
      <c r="AF130" s="37"/>
      <c r="AG130" s="32">
        <f>SUM(AF121:AF162)</f>
        <v>9426.5</v>
      </c>
    </row>
    <row r="131" spans="1:33" s="12" customFormat="1" x14ac:dyDescent="0.3">
      <c r="A131" s="7" t="s">
        <v>36</v>
      </c>
      <c r="B131" s="8" t="s">
        <v>299</v>
      </c>
      <c r="C131" s="87" t="s">
        <v>370</v>
      </c>
      <c r="D131" s="8" t="s">
        <v>107</v>
      </c>
      <c r="E131" s="9">
        <v>65</v>
      </c>
      <c r="F131" s="9"/>
      <c r="G131" s="9">
        <v>2</v>
      </c>
      <c r="H131" s="9">
        <v>1</v>
      </c>
      <c r="I131" s="9"/>
      <c r="J131" s="9"/>
      <c r="K131" s="9">
        <v>1</v>
      </c>
      <c r="L131" s="9">
        <v>1</v>
      </c>
      <c r="M131" s="9"/>
      <c r="N131" s="9">
        <v>1</v>
      </c>
      <c r="O131" s="9">
        <v>6</v>
      </c>
      <c r="P131" s="9">
        <f t="shared" ref="P131:P162" si="27">SUM(G131:O131)</f>
        <v>12</v>
      </c>
      <c r="Q131" s="9">
        <f t="shared" ref="Q131:Q162" si="28">E131+F131-P131</f>
        <v>53</v>
      </c>
      <c r="R131" s="10">
        <v>62.5</v>
      </c>
      <c r="S131" s="11">
        <f t="shared" si="25"/>
        <v>3312.5</v>
      </c>
      <c r="U131" s="9">
        <v>0</v>
      </c>
      <c r="V131" s="39">
        <f t="shared" ref="V131:V160" si="29">Q131+U131</f>
        <v>53</v>
      </c>
      <c r="W131" s="45">
        <f t="shared" ref="W131:AE159" si="30">G131*$R131</f>
        <v>125</v>
      </c>
      <c r="X131" s="45">
        <f t="shared" si="30"/>
        <v>62.5</v>
      </c>
      <c r="Y131" s="45">
        <f t="shared" si="30"/>
        <v>0</v>
      </c>
      <c r="Z131" s="45">
        <f t="shared" si="22"/>
        <v>0</v>
      </c>
      <c r="AA131" s="45">
        <f t="shared" si="22"/>
        <v>62.5</v>
      </c>
      <c r="AB131" s="45">
        <f t="shared" si="22"/>
        <v>62.5</v>
      </c>
      <c r="AC131" s="45">
        <f t="shared" si="22"/>
        <v>0</v>
      </c>
      <c r="AD131" s="45">
        <f t="shared" si="22"/>
        <v>62.5</v>
      </c>
      <c r="AE131" s="45">
        <f t="shared" si="22"/>
        <v>375</v>
      </c>
      <c r="AF131" s="37">
        <f t="shared" ref="AF131:AF162" si="31">$P131*$R131</f>
        <v>750</v>
      </c>
    </row>
    <row r="132" spans="1:33" s="12" customFormat="1" x14ac:dyDescent="0.3">
      <c r="A132" s="7" t="s">
        <v>36</v>
      </c>
      <c r="B132" s="8" t="s">
        <v>300</v>
      </c>
      <c r="C132" s="87" t="s">
        <v>370</v>
      </c>
      <c r="D132" s="8" t="s">
        <v>108</v>
      </c>
      <c r="E132" s="9">
        <v>30</v>
      </c>
      <c r="F132" s="9"/>
      <c r="G132" s="9">
        <v>4</v>
      </c>
      <c r="H132" s="9"/>
      <c r="I132" s="9"/>
      <c r="J132" s="9">
        <v>2</v>
      </c>
      <c r="K132" s="9"/>
      <c r="L132" s="9"/>
      <c r="M132" s="9"/>
      <c r="N132" s="9"/>
      <c r="O132" s="9"/>
      <c r="P132" s="9">
        <f t="shared" si="27"/>
        <v>6</v>
      </c>
      <c r="Q132" s="9">
        <f t="shared" si="28"/>
        <v>24</v>
      </c>
      <c r="R132" s="10">
        <v>69</v>
      </c>
      <c r="S132" s="11">
        <f t="shared" si="25"/>
        <v>1656</v>
      </c>
      <c r="U132" s="9">
        <v>0</v>
      </c>
      <c r="V132" s="39">
        <f t="shared" si="29"/>
        <v>24</v>
      </c>
      <c r="W132" s="45">
        <f t="shared" si="30"/>
        <v>276</v>
      </c>
      <c r="X132" s="45">
        <f t="shared" si="30"/>
        <v>0</v>
      </c>
      <c r="Y132" s="45">
        <f t="shared" si="30"/>
        <v>0</v>
      </c>
      <c r="Z132" s="45">
        <f t="shared" si="22"/>
        <v>138</v>
      </c>
      <c r="AA132" s="45">
        <f t="shared" si="22"/>
        <v>0</v>
      </c>
      <c r="AB132" s="45">
        <f t="shared" si="22"/>
        <v>0</v>
      </c>
      <c r="AC132" s="45">
        <f t="shared" si="22"/>
        <v>0</v>
      </c>
      <c r="AD132" s="45">
        <f t="shared" si="22"/>
        <v>0</v>
      </c>
      <c r="AE132" s="45">
        <f t="shared" si="22"/>
        <v>0</v>
      </c>
      <c r="AF132" s="37">
        <f t="shared" si="31"/>
        <v>414</v>
      </c>
    </row>
    <row r="133" spans="1:33" s="12" customFormat="1" x14ac:dyDescent="0.3">
      <c r="A133" s="7" t="s">
        <v>36</v>
      </c>
      <c r="B133" s="8" t="s">
        <v>301</v>
      </c>
      <c r="C133" s="87" t="s">
        <v>370</v>
      </c>
      <c r="D133" s="8" t="s">
        <v>109</v>
      </c>
      <c r="E133" s="9">
        <v>27</v>
      </c>
      <c r="F133" s="9"/>
      <c r="G133" s="9">
        <v>4</v>
      </c>
      <c r="H133" s="9"/>
      <c r="I133" s="9"/>
      <c r="J133" s="9"/>
      <c r="K133" s="9"/>
      <c r="L133" s="9"/>
      <c r="M133" s="9"/>
      <c r="N133" s="9"/>
      <c r="O133" s="9"/>
      <c r="P133" s="9">
        <f t="shared" si="27"/>
        <v>4</v>
      </c>
      <c r="Q133" s="9">
        <f t="shared" si="28"/>
        <v>23</v>
      </c>
      <c r="R133" s="10">
        <v>250</v>
      </c>
      <c r="S133" s="11">
        <f t="shared" si="25"/>
        <v>5750</v>
      </c>
      <c r="U133" s="9">
        <v>0</v>
      </c>
      <c r="V133" s="39">
        <f t="shared" si="29"/>
        <v>23</v>
      </c>
      <c r="W133" s="45">
        <f t="shared" si="30"/>
        <v>1000</v>
      </c>
      <c r="X133" s="45">
        <f t="shared" si="30"/>
        <v>0</v>
      </c>
      <c r="Y133" s="45">
        <f t="shared" si="30"/>
        <v>0</v>
      </c>
      <c r="Z133" s="45">
        <f t="shared" si="22"/>
        <v>0</v>
      </c>
      <c r="AA133" s="45">
        <f t="shared" si="22"/>
        <v>0</v>
      </c>
      <c r="AB133" s="45">
        <f t="shared" si="22"/>
        <v>0</v>
      </c>
      <c r="AC133" s="45">
        <f t="shared" si="22"/>
        <v>0</v>
      </c>
      <c r="AD133" s="45">
        <f t="shared" si="22"/>
        <v>0</v>
      </c>
      <c r="AE133" s="45">
        <f t="shared" si="22"/>
        <v>0</v>
      </c>
      <c r="AF133" s="37">
        <f t="shared" si="31"/>
        <v>1000</v>
      </c>
    </row>
    <row r="134" spans="1:33" s="12" customFormat="1" x14ac:dyDescent="0.3">
      <c r="A134" s="7" t="s">
        <v>36</v>
      </c>
      <c r="B134" s="8" t="s">
        <v>302</v>
      </c>
      <c r="C134" s="87" t="s">
        <v>370</v>
      </c>
      <c r="D134" s="8" t="s">
        <v>110</v>
      </c>
      <c r="E134" s="9">
        <v>27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>
        <f t="shared" si="27"/>
        <v>0</v>
      </c>
      <c r="Q134" s="9">
        <f t="shared" si="28"/>
        <v>27</v>
      </c>
      <c r="R134" s="10">
        <v>123</v>
      </c>
      <c r="S134" s="11">
        <f t="shared" si="25"/>
        <v>3321</v>
      </c>
      <c r="U134" s="9">
        <v>0</v>
      </c>
      <c r="V134" s="39">
        <f t="shared" si="29"/>
        <v>27</v>
      </c>
      <c r="W134" s="45">
        <f t="shared" si="30"/>
        <v>0</v>
      </c>
      <c r="X134" s="45">
        <f t="shared" si="30"/>
        <v>0</v>
      </c>
      <c r="Y134" s="45">
        <f t="shared" si="30"/>
        <v>0</v>
      </c>
      <c r="Z134" s="45">
        <f t="shared" si="30"/>
        <v>0</v>
      </c>
      <c r="AA134" s="45">
        <f t="shared" si="30"/>
        <v>0</v>
      </c>
      <c r="AB134" s="45">
        <f t="shared" si="30"/>
        <v>0</v>
      </c>
      <c r="AC134" s="45">
        <f t="shared" si="30"/>
        <v>0</v>
      </c>
      <c r="AD134" s="45">
        <f t="shared" si="30"/>
        <v>0</v>
      </c>
      <c r="AE134" s="45">
        <f t="shared" si="30"/>
        <v>0</v>
      </c>
      <c r="AF134" s="37">
        <f t="shared" si="31"/>
        <v>0</v>
      </c>
    </row>
    <row r="135" spans="1:33" s="39" customFormat="1" x14ac:dyDescent="0.3">
      <c r="A135" s="49" t="s">
        <v>36</v>
      </c>
      <c r="B135" s="50" t="s">
        <v>304</v>
      </c>
      <c r="C135" s="50" t="s">
        <v>22</v>
      </c>
      <c r="D135" s="50" t="s">
        <v>305</v>
      </c>
      <c r="E135" s="51">
        <v>22</v>
      </c>
      <c r="F135" s="51">
        <v>20</v>
      </c>
      <c r="G135" s="51"/>
      <c r="H135" s="51"/>
      <c r="I135" s="51">
        <v>1</v>
      </c>
      <c r="J135" s="51">
        <v>1</v>
      </c>
      <c r="K135" s="51">
        <v>1</v>
      </c>
      <c r="L135" s="51">
        <v>2</v>
      </c>
      <c r="M135" s="51">
        <v>2</v>
      </c>
      <c r="N135" s="51">
        <v>1</v>
      </c>
      <c r="O135" s="51">
        <v>2</v>
      </c>
      <c r="P135" s="51">
        <f t="shared" si="27"/>
        <v>10</v>
      </c>
      <c r="Q135" s="51">
        <f t="shared" si="28"/>
        <v>32</v>
      </c>
      <c r="R135" s="52">
        <v>28</v>
      </c>
      <c r="S135" s="53">
        <f t="shared" si="25"/>
        <v>896</v>
      </c>
      <c r="U135" s="51">
        <v>0</v>
      </c>
      <c r="V135" s="39">
        <f t="shared" si="29"/>
        <v>32</v>
      </c>
      <c r="W135" s="54">
        <f t="shared" si="30"/>
        <v>0</v>
      </c>
      <c r="X135" s="54">
        <f t="shared" si="30"/>
        <v>0</v>
      </c>
      <c r="Y135" s="54">
        <f t="shared" si="30"/>
        <v>28</v>
      </c>
      <c r="Z135" s="54">
        <f t="shared" si="30"/>
        <v>28</v>
      </c>
      <c r="AA135" s="54">
        <f t="shared" si="30"/>
        <v>28</v>
      </c>
      <c r="AB135" s="54">
        <f t="shared" si="30"/>
        <v>56</v>
      </c>
      <c r="AC135" s="54">
        <f t="shared" si="30"/>
        <v>56</v>
      </c>
      <c r="AD135" s="54">
        <f t="shared" si="30"/>
        <v>28</v>
      </c>
      <c r="AE135" s="54">
        <f t="shared" si="30"/>
        <v>56</v>
      </c>
      <c r="AF135" s="55">
        <f t="shared" si="31"/>
        <v>280</v>
      </c>
    </row>
    <row r="136" spans="1:33" s="39" customFormat="1" x14ac:dyDescent="0.3">
      <c r="A136" s="49" t="s">
        <v>36</v>
      </c>
      <c r="B136" s="50" t="s">
        <v>303</v>
      </c>
      <c r="C136" s="50" t="s">
        <v>22</v>
      </c>
      <c r="D136" s="50" t="s">
        <v>306</v>
      </c>
      <c r="E136" s="51">
        <v>68</v>
      </c>
      <c r="F136" s="51"/>
      <c r="G136" s="51">
        <v>3</v>
      </c>
      <c r="H136" s="51"/>
      <c r="I136" s="51"/>
      <c r="J136" s="51">
        <v>1</v>
      </c>
      <c r="K136" s="51"/>
      <c r="L136" s="51"/>
      <c r="M136" s="51"/>
      <c r="N136" s="51"/>
      <c r="O136" s="51"/>
      <c r="P136" s="51">
        <f t="shared" si="27"/>
        <v>4</v>
      </c>
      <c r="Q136" s="51">
        <f t="shared" si="28"/>
        <v>64</v>
      </c>
      <c r="R136" s="52">
        <v>40</v>
      </c>
      <c r="S136" s="53">
        <f t="shared" si="25"/>
        <v>2560</v>
      </c>
      <c r="U136" s="51">
        <v>0</v>
      </c>
      <c r="V136" s="39">
        <f t="shared" si="29"/>
        <v>64</v>
      </c>
      <c r="W136" s="54">
        <f t="shared" si="30"/>
        <v>120</v>
      </c>
      <c r="X136" s="54">
        <f t="shared" si="30"/>
        <v>0</v>
      </c>
      <c r="Y136" s="54">
        <f t="shared" si="30"/>
        <v>0</v>
      </c>
      <c r="Z136" s="54">
        <f t="shared" si="30"/>
        <v>40</v>
      </c>
      <c r="AA136" s="54">
        <f t="shared" si="30"/>
        <v>0</v>
      </c>
      <c r="AB136" s="54">
        <f t="shared" si="30"/>
        <v>0</v>
      </c>
      <c r="AC136" s="54">
        <f t="shared" si="30"/>
        <v>0</v>
      </c>
      <c r="AD136" s="54">
        <f t="shared" si="30"/>
        <v>0</v>
      </c>
      <c r="AE136" s="54">
        <f t="shared" si="30"/>
        <v>0</v>
      </c>
      <c r="AF136" s="55">
        <f t="shared" si="31"/>
        <v>160</v>
      </c>
    </row>
    <row r="137" spans="1:33" s="39" customFormat="1" x14ac:dyDescent="0.3">
      <c r="A137" s="49" t="s">
        <v>36</v>
      </c>
      <c r="B137" s="50" t="s">
        <v>308</v>
      </c>
      <c r="C137" s="50" t="s">
        <v>22</v>
      </c>
      <c r="D137" s="50" t="s">
        <v>307</v>
      </c>
      <c r="E137" s="51">
        <v>0</v>
      </c>
      <c r="F137" s="51">
        <v>20</v>
      </c>
      <c r="G137" s="51"/>
      <c r="H137" s="51"/>
      <c r="I137" s="51">
        <v>2</v>
      </c>
      <c r="J137" s="51"/>
      <c r="K137" s="51"/>
      <c r="L137" s="51">
        <v>1</v>
      </c>
      <c r="M137" s="51">
        <v>2</v>
      </c>
      <c r="N137" s="51"/>
      <c r="O137" s="51"/>
      <c r="P137" s="51">
        <f t="shared" si="27"/>
        <v>5</v>
      </c>
      <c r="Q137" s="51">
        <f t="shared" si="28"/>
        <v>15</v>
      </c>
      <c r="R137" s="52">
        <v>55</v>
      </c>
      <c r="S137" s="53">
        <f t="shared" si="25"/>
        <v>825</v>
      </c>
      <c r="U137" s="51">
        <v>0</v>
      </c>
      <c r="V137" s="39">
        <f t="shared" si="29"/>
        <v>15</v>
      </c>
      <c r="W137" s="54">
        <f t="shared" si="30"/>
        <v>0</v>
      </c>
      <c r="X137" s="54">
        <f t="shared" si="30"/>
        <v>0</v>
      </c>
      <c r="Y137" s="54">
        <f t="shared" si="30"/>
        <v>110</v>
      </c>
      <c r="Z137" s="54">
        <f t="shared" si="30"/>
        <v>0</v>
      </c>
      <c r="AA137" s="54">
        <f t="shared" si="30"/>
        <v>0</v>
      </c>
      <c r="AB137" s="54">
        <f t="shared" si="30"/>
        <v>55</v>
      </c>
      <c r="AC137" s="54">
        <f t="shared" si="30"/>
        <v>110</v>
      </c>
      <c r="AD137" s="54">
        <f t="shared" si="30"/>
        <v>0</v>
      </c>
      <c r="AE137" s="54">
        <f t="shared" si="30"/>
        <v>0</v>
      </c>
      <c r="AF137" s="55">
        <f t="shared" si="31"/>
        <v>275</v>
      </c>
    </row>
    <row r="138" spans="1:33" s="39" customFormat="1" x14ac:dyDescent="0.3">
      <c r="A138" s="49" t="s">
        <v>36</v>
      </c>
      <c r="B138" s="50" t="s">
        <v>309</v>
      </c>
      <c r="C138" s="87" t="s">
        <v>370</v>
      </c>
      <c r="D138" s="50" t="s">
        <v>366</v>
      </c>
      <c r="E138" s="51">
        <v>7</v>
      </c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>
        <f t="shared" si="27"/>
        <v>0</v>
      </c>
      <c r="Q138" s="51">
        <f t="shared" si="28"/>
        <v>7</v>
      </c>
      <c r="R138" s="52">
        <v>100</v>
      </c>
      <c r="S138" s="53">
        <f t="shared" si="25"/>
        <v>700</v>
      </c>
      <c r="U138" s="51">
        <v>0</v>
      </c>
      <c r="V138" s="39">
        <f t="shared" si="29"/>
        <v>7</v>
      </c>
      <c r="W138" s="54">
        <f t="shared" si="30"/>
        <v>0</v>
      </c>
      <c r="X138" s="54">
        <f t="shared" si="30"/>
        <v>0</v>
      </c>
      <c r="Y138" s="54">
        <f t="shared" si="30"/>
        <v>0</v>
      </c>
      <c r="Z138" s="54">
        <f t="shared" si="30"/>
        <v>0</v>
      </c>
      <c r="AA138" s="54">
        <f t="shared" si="30"/>
        <v>0</v>
      </c>
      <c r="AB138" s="54">
        <f t="shared" si="30"/>
        <v>0</v>
      </c>
      <c r="AC138" s="54">
        <f t="shared" si="30"/>
        <v>0</v>
      </c>
      <c r="AD138" s="54">
        <f t="shared" si="30"/>
        <v>0</v>
      </c>
      <c r="AE138" s="54">
        <f t="shared" si="30"/>
        <v>0</v>
      </c>
      <c r="AF138" s="55">
        <f t="shared" si="31"/>
        <v>0</v>
      </c>
    </row>
    <row r="139" spans="1:33" s="39" customFormat="1" x14ac:dyDescent="0.3">
      <c r="A139" s="49" t="s">
        <v>36</v>
      </c>
      <c r="B139" s="50" t="s">
        <v>310</v>
      </c>
      <c r="C139" s="87" t="s">
        <v>370</v>
      </c>
      <c r="D139" s="50" t="s">
        <v>353</v>
      </c>
      <c r="E139" s="51">
        <v>10</v>
      </c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>
        <f t="shared" si="27"/>
        <v>0</v>
      </c>
      <c r="Q139" s="51">
        <f t="shared" si="28"/>
        <v>10</v>
      </c>
      <c r="R139" s="52">
        <v>35</v>
      </c>
      <c r="S139" s="53">
        <f t="shared" si="25"/>
        <v>350</v>
      </c>
      <c r="U139" s="51"/>
      <c r="V139" s="39">
        <f t="shared" si="29"/>
        <v>10</v>
      </c>
      <c r="W139" s="54">
        <f t="shared" si="30"/>
        <v>0</v>
      </c>
      <c r="X139" s="54">
        <f t="shared" si="30"/>
        <v>0</v>
      </c>
      <c r="Y139" s="54">
        <f t="shared" si="30"/>
        <v>0</v>
      </c>
      <c r="Z139" s="54">
        <f t="shared" si="30"/>
        <v>0</v>
      </c>
      <c r="AA139" s="54">
        <f t="shared" si="30"/>
        <v>0</v>
      </c>
      <c r="AB139" s="54">
        <f t="shared" si="30"/>
        <v>0</v>
      </c>
      <c r="AC139" s="54">
        <f t="shared" si="30"/>
        <v>0</v>
      </c>
      <c r="AD139" s="54">
        <f t="shared" si="30"/>
        <v>0</v>
      </c>
      <c r="AE139" s="54">
        <f t="shared" si="30"/>
        <v>0</v>
      </c>
      <c r="AF139" s="55">
        <f t="shared" si="31"/>
        <v>0</v>
      </c>
    </row>
    <row r="140" spans="1:33" s="39" customFormat="1" x14ac:dyDescent="0.3">
      <c r="A140" s="49" t="s">
        <v>36</v>
      </c>
      <c r="B140" s="50" t="s">
        <v>311</v>
      </c>
      <c r="C140" s="87" t="s">
        <v>370</v>
      </c>
      <c r="D140" s="50" t="s">
        <v>313</v>
      </c>
      <c r="E140" s="51">
        <v>5</v>
      </c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>
        <f t="shared" si="27"/>
        <v>0</v>
      </c>
      <c r="Q140" s="51">
        <f t="shared" si="28"/>
        <v>5</v>
      </c>
      <c r="R140" s="52">
        <v>120</v>
      </c>
      <c r="S140" s="53">
        <f t="shared" si="25"/>
        <v>600</v>
      </c>
      <c r="U140" s="51"/>
      <c r="V140" s="39">
        <f t="shared" si="29"/>
        <v>5</v>
      </c>
      <c r="W140" s="54">
        <f t="shared" si="30"/>
        <v>0</v>
      </c>
      <c r="X140" s="54">
        <f t="shared" si="30"/>
        <v>0</v>
      </c>
      <c r="Y140" s="54">
        <f t="shared" si="30"/>
        <v>0</v>
      </c>
      <c r="Z140" s="54">
        <f t="shared" si="30"/>
        <v>0</v>
      </c>
      <c r="AA140" s="54">
        <f t="shared" si="30"/>
        <v>0</v>
      </c>
      <c r="AB140" s="54">
        <f t="shared" si="30"/>
        <v>0</v>
      </c>
      <c r="AC140" s="54">
        <f t="shared" si="30"/>
        <v>0</v>
      </c>
      <c r="AD140" s="54">
        <f t="shared" si="30"/>
        <v>0</v>
      </c>
      <c r="AE140" s="54">
        <f t="shared" si="30"/>
        <v>0</v>
      </c>
      <c r="AF140" s="55">
        <f t="shared" si="31"/>
        <v>0</v>
      </c>
    </row>
    <row r="141" spans="1:33" s="39" customFormat="1" x14ac:dyDescent="0.3">
      <c r="A141" s="49" t="s">
        <v>36</v>
      </c>
      <c r="B141" s="50" t="s">
        <v>312</v>
      </c>
      <c r="C141" s="87" t="s">
        <v>370</v>
      </c>
      <c r="D141" s="50" t="s">
        <v>314</v>
      </c>
      <c r="E141" s="51">
        <v>3</v>
      </c>
      <c r="F141" s="51"/>
      <c r="G141" s="51"/>
      <c r="H141" s="51"/>
      <c r="I141" s="51">
        <v>2</v>
      </c>
      <c r="J141" s="51"/>
      <c r="K141" s="51"/>
      <c r="L141" s="51"/>
      <c r="M141" s="51"/>
      <c r="N141" s="51"/>
      <c r="O141" s="51"/>
      <c r="P141" s="51">
        <f t="shared" si="27"/>
        <v>2</v>
      </c>
      <c r="Q141" s="51">
        <f t="shared" si="28"/>
        <v>1</v>
      </c>
      <c r="R141" s="52">
        <v>45</v>
      </c>
      <c r="S141" s="53">
        <f t="shared" si="25"/>
        <v>45</v>
      </c>
      <c r="U141" s="51"/>
      <c r="V141" s="39">
        <f t="shared" si="29"/>
        <v>1</v>
      </c>
      <c r="W141" s="54">
        <f t="shared" si="30"/>
        <v>0</v>
      </c>
      <c r="X141" s="54">
        <f t="shared" si="30"/>
        <v>0</v>
      </c>
      <c r="Y141" s="54">
        <f t="shared" si="30"/>
        <v>90</v>
      </c>
      <c r="Z141" s="54">
        <f t="shared" si="30"/>
        <v>0</v>
      </c>
      <c r="AA141" s="54" t="e">
        <f>#REF!*$R141</f>
        <v>#REF!</v>
      </c>
      <c r="AB141" s="54">
        <f t="shared" si="30"/>
        <v>0</v>
      </c>
      <c r="AC141" s="54">
        <f t="shared" si="30"/>
        <v>0</v>
      </c>
      <c r="AD141" s="54">
        <f t="shared" si="30"/>
        <v>0</v>
      </c>
      <c r="AE141" s="54">
        <f t="shared" si="30"/>
        <v>0</v>
      </c>
      <c r="AF141" s="55">
        <f t="shared" si="31"/>
        <v>90</v>
      </c>
    </row>
    <row r="142" spans="1:33" s="39" customFormat="1" x14ac:dyDescent="0.3">
      <c r="A142" s="49" t="s">
        <v>36</v>
      </c>
      <c r="B142" s="50" t="s">
        <v>86</v>
      </c>
      <c r="C142" s="87" t="s">
        <v>370</v>
      </c>
      <c r="D142" s="50" t="s">
        <v>316</v>
      </c>
      <c r="E142" s="51">
        <v>0</v>
      </c>
      <c r="F142" s="51">
        <v>20</v>
      </c>
      <c r="G142" s="51"/>
      <c r="H142" s="51"/>
      <c r="I142" s="51"/>
      <c r="J142" s="51"/>
      <c r="K142" s="51"/>
      <c r="L142" s="51"/>
      <c r="M142" s="51">
        <v>3</v>
      </c>
      <c r="N142" s="51">
        <v>6</v>
      </c>
      <c r="O142" s="51"/>
      <c r="P142" s="51">
        <f>SUM(G142:O142)</f>
        <v>9</v>
      </c>
      <c r="Q142" s="51">
        <f>E142+F142-P142</f>
        <v>11</v>
      </c>
      <c r="R142" s="52">
        <v>75</v>
      </c>
      <c r="S142" s="53">
        <f>Q142*R142</f>
        <v>825</v>
      </c>
      <c r="U142" s="51">
        <v>20</v>
      </c>
      <c r="V142" s="39">
        <f>Q142+U142</f>
        <v>31</v>
      </c>
      <c r="W142" s="54">
        <f t="shared" si="30"/>
        <v>0</v>
      </c>
      <c r="X142" s="54">
        <f t="shared" si="30"/>
        <v>0</v>
      </c>
      <c r="Y142" s="54">
        <f t="shared" si="30"/>
        <v>0</v>
      </c>
      <c r="Z142" s="54">
        <f t="shared" si="30"/>
        <v>0</v>
      </c>
      <c r="AA142" s="54">
        <f t="shared" si="30"/>
        <v>0</v>
      </c>
      <c r="AB142" s="54">
        <f t="shared" si="30"/>
        <v>0</v>
      </c>
      <c r="AC142" s="54">
        <f t="shared" si="30"/>
        <v>225</v>
      </c>
      <c r="AD142" s="54">
        <f t="shared" si="30"/>
        <v>450</v>
      </c>
      <c r="AE142" s="54">
        <f t="shared" si="30"/>
        <v>0</v>
      </c>
      <c r="AF142" s="55">
        <f>$P142*$R142</f>
        <v>675</v>
      </c>
    </row>
    <row r="143" spans="1:33" s="39" customFormat="1" x14ac:dyDescent="0.3">
      <c r="A143" s="49" t="s">
        <v>36</v>
      </c>
      <c r="B143" s="50" t="s">
        <v>331</v>
      </c>
      <c r="C143" s="87" t="s">
        <v>370</v>
      </c>
      <c r="D143" s="50" t="s">
        <v>317</v>
      </c>
      <c r="E143" s="51">
        <v>25</v>
      </c>
      <c r="F143" s="51">
        <v>50</v>
      </c>
      <c r="G143" s="51"/>
      <c r="H143" s="51">
        <v>4</v>
      </c>
      <c r="I143" s="51">
        <v>2</v>
      </c>
      <c r="J143" s="51">
        <v>7</v>
      </c>
      <c r="K143" s="51"/>
      <c r="L143" s="51">
        <v>1</v>
      </c>
      <c r="M143" s="51">
        <v>6</v>
      </c>
      <c r="N143" s="51"/>
      <c r="O143" s="51">
        <v>2</v>
      </c>
      <c r="P143" s="51">
        <f>SUM(G143:O143)</f>
        <v>22</v>
      </c>
      <c r="Q143" s="51">
        <f>E143+F143-P143</f>
        <v>53</v>
      </c>
      <c r="R143" s="52">
        <v>2.5</v>
      </c>
      <c r="S143" s="53">
        <f>Q143*R143</f>
        <v>132.5</v>
      </c>
      <c r="U143" s="51">
        <v>31</v>
      </c>
      <c r="V143" s="39">
        <f>Q143+U143</f>
        <v>84</v>
      </c>
      <c r="W143" s="54">
        <f t="shared" si="30"/>
        <v>0</v>
      </c>
      <c r="X143" s="54">
        <f t="shared" si="30"/>
        <v>10</v>
      </c>
      <c r="Y143" s="54">
        <f t="shared" si="30"/>
        <v>5</v>
      </c>
      <c r="Z143" s="54">
        <f t="shared" si="30"/>
        <v>17.5</v>
      </c>
      <c r="AA143" s="54">
        <f t="shared" si="30"/>
        <v>0</v>
      </c>
      <c r="AB143" s="54">
        <f t="shared" si="30"/>
        <v>2.5</v>
      </c>
      <c r="AC143" s="54">
        <f t="shared" si="30"/>
        <v>15</v>
      </c>
      <c r="AD143" s="54">
        <f t="shared" si="30"/>
        <v>0</v>
      </c>
      <c r="AE143" s="54">
        <f t="shared" si="30"/>
        <v>5</v>
      </c>
      <c r="AF143" s="55">
        <f>$P143*$R143</f>
        <v>55</v>
      </c>
    </row>
    <row r="144" spans="1:33" s="39" customFormat="1" x14ac:dyDescent="0.3">
      <c r="A144" s="49" t="s">
        <v>36</v>
      </c>
      <c r="B144" s="50" t="s">
        <v>332</v>
      </c>
      <c r="C144" s="87" t="s">
        <v>370</v>
      </c>
      <c r="D144" s="50" t="s">
        <v>318</v>
      </c>
      <c r="E144" s="51">
        <v>0</v>
      </c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>
        <f>SUM(G144:O144)</f>
        <v>0</v>
      </c>
      <c r="Q144" s="51">
        <f>E144+F144-P144</f>
        <v>0</v>
      </c>
      <c r="R144" s="52">
        <v>250</v>
      </c>
      <c r="S144" s="53">
        <f>Q144*R144</f>
        <v>0</v>
      </c>
      <c r="U144" s="51">
        <v>3</v>
      </c>
      <c r="V144" s="39">
        <f>Q144+U144</f>
        <v>3</v>
      </c>
      <c r="W144" s="54">
        <f t="shared" si="30"/>
        <v>0</v>
      </c>
      <c r="X144" s="54">
        <f t="shared" si="30"/>
        <v>0</v>
      </c>
      <c r="Y144" s="54">
        <f t="shared" si="30"/>
        <v>0</v>
      </c>
      <c r="Z144" s="54">
        <f t="shared" si="30"/>
        <v>0</v>
      </c>
      <c r="AA144" s="54">
        <f t="shared" si="30"/>
        <v>0</v>
      </c>
      <c r="AB144" s="54">
        <f t="shared" si="30"/>
        <v>0</v>
      </c>
      <c r="AC144" s="54">
        <f t="shared" si="30"/>
        <v>0</v>
      </c>
      <c r="AD144" s="54">
        <f t="shared" si="30"/>
        <v>0</v>
      </c>
      <c r="AE144" s="54">
        <f t="shared" si="30"/>
        <v>0</v>
      </c>
      <c r="AF144" s="55">
        <f>$P144*$R144</f>
        <v>0</v>
      </c>
    </row>
    <row r="145" spans="1:32" s="39" customFormat="1" x14ac:dyDescent="0.3">
      <c r="A145" s="49" t="s">
        <v>36</v>
      </c>
      <c r="B145" s="50" t="s">
        <v>333</v>
      </c>
      <c r="C145" s="87" t="s">
        <v>370</v>
      </c>
      <c r="D145" s="50" t="s">
        <v>323</v>
      </c>
      <c r="E145" s="51">
        <v>24</v>
      </c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>
        <f>SUM(G145:O145)</f>
        <v>0</v>
      </c>
      <c r="Q145" s="51">
        <f>E145+F145-P145</f>
        <v>24</v>
      </c>
      <c r="R145" s="52">
        <v>130</v>
      </c>
      <c r="S145" s="53">
        <f>Q145*R145</f>
        <v>3120</v>
      </c>
      <c r="U145" s="51">
        <v>4</v>
      </c>
      <c r="V145" s="39">
        <f>Q145+U145</f>
        <v>28</v>
      </c>
      <c r="W145" s="54">
        <f t="shared" si="30"/>
        <v>0</v>
      </c>
      <c r="X145" s="54">
        <f t="shared" si="30"/>
        <v>0</v>
      </c>
      <c r="Y145" s="54">
        <f t="shared" si="30"/>
        <v>0</v>
      </c>
      <c r="Z145" s="54">
        <f t="shared" si="30"/>
        <v>0</v>
      </c>
      <c r="AA145" s="54">
        <f t="shared" si="30"/>
        <v>0</v>
      </c>
      <c r="AB145" s="54">
        <f t="shared" si="30"/>
        <v>0</v>
      </c>
      <c r="AC145" s="54">
        <f t="shared" si="30"/>
        <v>0</v>
      </c>
      <c r="AD145" s="54">
        <f t="shared" si="30"/>
        <v>0</v>
      </c>
      <c r="AE145" s="54">
        <f t="shared" si="30"/>
        <v>0</v>
      </c>
      <c r="AF145" s="55">
        <f>$P145*$R145</f>
        <v>0</v>
      </c>
    </row>
    <row r="146" spans="1:32" s="39" customFormat="1" ht="12" customHeight="1" x14ac:dyDescent="0.3">
      <c r="A146" s="49" t="s">
        <v>36</v>
      </c>
      <c r="B146" s="50" t="s">
        <v>87</v>
      </c>
      <c r="C146" s="50" t="s">
        <v>22</v>
      </c>
      <c r="D146" s="50" t="s">
        <v>315</v>
      </c>
      <c r="E146" s="51">
        <v>333</v>
      </c>
      <c r="F146" s="51"/>
      <c r="G146" s="51">
        <v>6</v>
      </c>
      <c r="H146" s="51">
        <v>16</v>
      </c>
      <c r="I146" s="51">
        <v>16</v>
      </c>
      <c r="J146" s="51">
        <v>9</v>
      </c>
      <c r="K146" s="51">
        <v>6</v>
      </c>
      <c r="L146" s="51">
        <v>11</v>
      </c>
      <c r="M146" s="51">
        <v>13</v>
      </c>
      <c r="N146" s="51">
        <v>7</v>
      </c>
      <c r="O146" s="51">
        <v>8</v>
      </c>
      <c r="P146" s="51">
        <f t="shared" si="27"/>
        <v>92</v>
      </c>
      <c r="Q146" s="51">
        <f t="shared" si="28"/>
        <v>241</v>
      </c>
      <c r="R146" s="52">
        <v>11</v>
      </c>
      <c r="S146" s="53">
        <f t="shared" si="25"/>
        <v>2651</v>
      </c>
      <c r="U146" s="51">
        <v>77</v>
      </c>
      <c r="V146" s="39">
        <f t="shared" si="29"/>
        <v>318</v>
      </c>
      <c r="W146" s="54">
        <f t="shared" si="30"/>
        <v>66</v>
      </c>
      <c r="X146" s="54">
        <f t="shared" si="30"/>
        <v>176</v>
      </c>
      <c r="Y146" s="54">
        <f t="shared" si="30"/>
        <v>176</v>
      </c>
      <c r="Z146" s="54">
        <f t="shared" si="30"/>
        <v>99</v>
      </c>
      <c r="AA146" s="54">
        <f t="shared" si="30"/>
        <v>66</v>
      </c>
      <c r="AB146" s="54">
        <f t="shared" si="30"/>
        <v>121</v>
      </c>
      <c r="AC146" s="54">
        <f t="shared" si="30"/>
        <v>143</v>
      </c>
      <c r="AD146" s="54">
        <f t="shared" si="30"/>
        <v>77</v>
      </c>
      <c r="AE146" s="54">
        <f t="shared" si="30"/>
        <v>88</v>
      </c>
      <c r="AF146" s="55">
        <f t="shared" si="31"/>
        <v>1012</v>
      </c>
    </row>
    <row r="147" spans="1:32" s="39" customFormat="1" x14ac:dyDescent="0.3">
      <c r="A147" s="49" t="s">
        <v>36</v>
      </c>
      <c r="B147" s="50" t="s">
        <v>182</v>
      </c>
      <c r="C147" s="50" t="s">
        <v>325</v>
      </c>
      <c r="D147" s="50" t="s">
        <v>2</v>
      </c>
      <c r="E147" s="51">
        <v>6</v>
      </c>
      <c r="F147" s="51"/>
      <c r="G147" s="51"/>
      <c r="H147" s="51"/>
      <c r="I147" s="51">
        <v>2</v>
      </c>
      <c r="J147" s="51"/>
      <c r="K147" s="51"/>
      <c r="L147" s="51"/>
      <c r="M147" s="51"/>
      <c r="N147" s="51"/>
      <c r="O147" s="51"/>
      <c r="P147" s="51">
        <f>SUM(G147:O147)</f>
        <v>2</v>
      </c>
      <c r="Q147" s="51">
        <f>E147+F147-P147</f>
        <v>4</v>
      </c>
      <c r="R147" s="52">
        <v>200</v>
      </c>
      <c r="S147" s="53">
        <f>Q147*R147</f>
        <v>800</v>
      </c>
      <c r="U147" s="51">
        <v>1</v>
      </c>
      <c r="V147" s="39">
        <f>Q147+U147</f>
        <v>5</v>
      </c>
      <c r="W147" s="54">
        <f t="shared" si="30"/>
        <v>0</v>
      </c>
      <c r="X147" s="54">
        <f t="shared" si="30"/>
        <v>0</v>
      </c>
      <c r="Y147" s="54">
        <f t="shared" si="30"/>
        <v>400</v>
      </c>
      <c r="Z147" s="54">
        <f t="shared" si="30"/>
        <v>0</v>
      </c>
      <c r="AA147" s="54">
        <f t="shared" si="30"/>
        <v>0</v>
      </c>
      <c r="AB147" s="54">
        <f t="shared" si="30"/>
        <v>0</v>
      </c>
      <c r="AC147" s="54">
        <f t="shared" si="30"/>
        <v>0</v>
      </c>
      <c r="AD147" s="54">
        <f t="shared" si="30"/>
        <v>0</v>
      </c>
      <c r="AE147" s="54">
        <f t="shared" si="30"/>
        <v>0</v>
      </c>
      <c r="AF147" s="55">
        <f t="shared" ref="AF147:AF154" si="32">$P147*$R147</f>
        <v>400</v>
      </c>
    </row>
    <row r="148" spans="1:32" s="39" customFormat="1" x14ac:dyDescent="0.3">
      <c r="A148" s="49" t="s">
        <v>36</v>
      </c>
      <c r="B148" s="50" t="s">
        <v>334</v>
      </c>
      <c r="C148" s="87" t="s">
        <v>370</v>
      </c>
      <c r="D148" s="50" t="s">
        <v>319</v>
      </c>
      <c r="E148" s="51">
        <v>10</v>
      </c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>
        <f>SUM(G148:O148)</f>
        <v>0</v>
      </c>
      <c r="Q148" s="51">
        <f>E148+F148-P148</f>
        <v>10</v>
      </c>
      <c r="R148" s="52">
        <v>71</v>
      </c>
      <c r="S148" s="53">
        <f>Q148*R148</f>
        <v>710</v>
      </c>
      <c r="U148" s="51">
        <v>49</v>
      </c>
      <c r="V148" s="39">
        <f>Q148+U148</f>
        <v>59</v>
      </c>
      <c r="W148" s="54">
        <f t="shared" si="30"/>
        <v>0</v>
      </c>
      <c r="X148" s="54">
        <f t="shared" si="30"/>
        <v>0</v>
      </c>
      <c r="Y148" s="54">
        <f t="shared" si="30"/>
        <v>0</v>
      </c>
      <c r="Z148" s="54">
        <f t="shared" si="30"/>
        <v>0</v>
      </c>
      <c r="AA148" s="54">
        <f t="shared" si="30"/>
        <v>0</v>
      </c>
      <c r="AB148" s="54">
        <f t="shared" si="30"/>
        <v>0</v>
      </c>
      <c r="AC148" s="54">
        <f t="shared" si="30"/>
        <v>0</v>
      </c>
      <c r="AD148" s="54">
        <f t="shared" si="30"/>
        <v>0</v>
      </c>
      <c r="AE148" s="54">
        <f t="shared" si="30"/>
        <v>0</v>
      </c>
      <c r="AF148" s="55">
        <f t="shared" si="32"/>
        <v>0</v>
      </c>
    </row>
    <row r="149" spans="1:32" s="39" customFormat="1" x14ac:dyDescent="0.3">
      <c r="A149" s="49" t="s">
        <v>36</v>
      </c>
      <c r="B149" s="50" t="s">
        <v>335</v>
      </c>
      <c r="C149" s="50" t="s">
        <v>20</v>
      </c>
      <c r="D149" s="50" t="s">
        <v>111</v>
      </c>
      <c r="E149" s="51">
        <v>1</v>
      </c>
      <c r="F149" s="51"/>
      <c r="G149" s="51"/>
      <c r="H149" s="51"/>
      <c r="I149" s="51">
        <v>1</v>
      </c>
      <c r="J149" s="51"/>
      <c r="K149" s="51"/>
      <c r="L149" s="51"/>
      <c r="M149" s="51"/>
      <c r="N149" s="51"/>
      <c r="O149" s="51"/>
      <c r="P149" s="51">
        <f>SUM(G149:O149)</f>
        <v>1</v>
      </c>
      <c r="Q149" s="51">
        <f>E149+F149-P149</f>
        <v>0</v>
      </c>
      <c r="R149" s="52">
        <v>200</v>
      </c>
      <c r="S149" s="53">
        <f>Q149*R149</f>
        <v>0</v>
      </c>
      <c r="U149" s="51">
        <v>4</v>
      </c>
      <c r="V149" s="39">
        <f>Q149+U149</f>
        <v>4</v>
      </c>
      <c r="W149" s="54">
        <f t="shared" si="30"/>
        <v>0</v>
      </c>
      <c r="X149" s="54">
        <f t="shared" si="30"/>
        <v>0</v>
      </c>
      <c r="Y149" s="54">
        <f t="shared" si="30"/>
        <v>200</v>
      </c>
      <c r="Z149" s="54">
        <f t="shared" si="30"/>
        <v>0</v>
      </c>
      <c r="AA149" s="54">
        <f t="shared" si="30"/>
        <v>0</v>
      </c>
      <c r="AB149" s="54">
        <f t="shared" si="30"/>
        <v>0</v>
      </c>
      <c r="AC149" s="54">
        <f t="shared" si="30"/>
        <v>0</v>
      </c>
      <c r="AD149" s="54">
        <f t="shared" si="30"/>
        <v>0</v>
      </c>
      <c r="AE149" s="54">
        <f t="shared" si="30"/>
        <v>0</v>
      </c>
      <c r="AF149" s="55">
        <f t="shared" si="32"/>
        <v>200</v>
      </c>
    </row>
    <row r="150" spans="1:32" s="39" customFormat="1" x14ac:dyDescent="0.3">
      <c r="A150" s="49" t="s">
        <v>36</v>
      </c>
      <c r="B150" s="50" t="s">
        <v>336</v>
      </c>
      <c r="C150" s="50" t="s">
        <v>325</v>
      </c>
      <c r="D150" s="50" t="s">
        <v>324</v>
      </c>
      <c r="E150" s="51">
        <v>0</v>
      </c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>
        <f t="shared" si="27"/>
        <v>0</v>
      </c>
      <c r="Q150" s="51">
        <f t="shared" si="28"/>
        <v>0</v>
      </c>
      <c r="R150" s="52">
        <v>190</v>
      </c>
      <c r="S150" s="53">
        <f t="shared" si="25"/>
        <v>0</v>
      </c>
      <c r="U150" s="51"/>
      <c r="W150" s="54">
        <f t="shared" si="30"/>
        <v>0</v>
      </c>
      <c r="X150" s="54">
        <f t="shared" si="30"/>
        <v>0</v>
      </c>
      <c r="Y150" s="54">
        <f t="shared" si="30"/>
        <v>0</v>
      </c>
      <c r="Z150" s="54">
        <f t="shared" si="30"/>
        <v>0</v>
      </c>
      <c r="AA150" s="54">
        <f t="shared" si="30"/>
        <v>0</v>
      </c>
      <c r="AB150" s="54">
        <f t="shared" si="30"/>
        <v>0</v>
      </c>
      <c r="AC150" s="54">
        <f t="shared" si="30"/>
        <v>0</v>
      </c>
      <c r="AD150" s="54">
        <f t="shared" si="30"/>
        <v>0</v>
      </c>
      <c r="AE150" s="54">
        <f t="shared" si="30"/>
        <v>0</v>
      </c>
      <c r="AF150" s="55">
        <f t="shared" si="32"/>
        <v>0</v>
      </c>
    </row>
    <row r="151" spans="1:32" s="39" customFormat="1" x14ac:dyDescent="0.3">
      <c r="A151" s="49" t="s">
        <v>36</v>
      </c>
      <c r="B151" s="50" t="s">
        <v>337</v>
      </c>
      <c r="C151" s="50" t="s">
        <v>56</v>
      </c>
      <c r="D151" s="50" t="s">
        <v>368</v>
      </c>
      <c r="E151" s="51">
        <v>0</v>
      </c>
      <c r="F151" s="51">
        <v>36</v>
      </c>
      <c r="G151" s="51"/>
      <c r="H151" s="51"/>
      <c r="I151" s="51"/>
      <c r="J151" s="51"/>
      <c r="K151" s="51"/>
      <c r="L151" s="51"/>
      <c r="M151" s="51">
        <v>1</v>
      </c>
      <c r="N151" s="51"/>
      <c r="O151" s="51">
        <v>1</v>
      </c>
      <c r="P151" s="51">
        <f>SUM(G151:O151)</f>
        <v>2</v>
      </c>
      <c r="Q151" s="51">
        <f>E151+F151-P151</f>
        <v>34</v>
      </c>
      <c r="R151" s="52">
        <v>10</v>
      </c>
      <c r="S151" s="53">
        <f>Q151*R151</f>
        <v>340</v>
      </c>
      <c r="U151" s="51">
        <v>0</v>
      </c>
      <c r="V151" s="39">
        <v>1</v>
      </c>
      <c r="W151" s="54">
        <f t="shared" si="30"/>
        <v>0</v>
      </c>
      <c r="X151" s="54">
        <f t="shared" si="30"/>
        <v>0</v>
      </c>
      <c r="Y151" s="54">
        <f t="shared" si="30"/>
        <v>0</v>
      </c>
      <c r="Z151" s="54">
        <f t="shared" si="30"/>
        <v>0</v>
      </c>
      <c r="AA151" s="54">
        <f t="shared" si="30"/>
        <v>0</v>
      </c>
      <c r="AB151" s="54">
        <f t="shared" si="30"/>
        <v>0</v>
      </c>
      <c r="AC151" s="54">
        <f t="shared" si="30"/>
        <v>10</v>
      </c>
      <c r="AD151" s="54">
        <f t="shared" si="30"/>
        <v>0</v>
      </c>
      <c r="AE151" s="54">
        <f t="shared" si="30"/>
        <v>10</v>
      </c>
      <c r="AF151" s="55">
        <f t="shared" si="32"/>
        <v>20</v>
      </c>
    </row>
    <row r="152" spans="1:32" s="39" customFormat="1" x14ac:dyDescent="0.3">
      <c r="A152" s="49" t="s">
        <v>36</v>
      </c>
      <c r="B152" s="50" t="s">
        <v>88</v>
      </c>
      <c r="C152" s="50" t="s">
        <v>56</v>
      </c>
      <c r="D152" s="50" t="s">
        <v>44</v>
      </c>
      <c r="E152" s="51">
        <v>0</v>
      </c>
      <c r="F152" s="51">
        <v>36</v>
      </c>
      <c r="G152" s="51"/>
      <c r="H152" s="51"/>
      <c r="I152" s="51"/>
      <c r="J152" s="51"/>
      <c r="K152" s="51"/>
      <c r="L152" s="51"/>
      <c r="M152" s="51">
        <v>2</v>
      </c>
      <c r="N152" s="51"/>
      <c r="O152" s="51">
        <v>1</v>
      </c>
      <c r="P152" s="51">
        <f>SUM(G152:O152)</f>
        <v>3</v>
      </c>
      <c r="Q152" s="51">
        <f>E152+F152-P152</f>
        <v>33</v>
      </c>
      <c r="R152" s="52">
        <v>8.5</v>
      </c>
      <c r="S152" s="53">
        <f>Q152*R152</f>
        <v>280.5</v>
      </c>
      <c r="U152" s="51">
        <v>20</v>
      </c>
      <c r="V152" s="39">
        <f>Q152+U152</f>
        <v>53</v>
      </c>
      <c r="W152" s="54">
        <f t="shared" si="30"/>
        <v>0</v>
      </c>
      <c r="X152" s="54">
        <f t="shared" si="30"/>
        <v>0</v>
      </c>
      <c r="Y152" s="54">
        <f t="shared" si="30"/>
        <v>0</v>
      </c>
      <c r="Z152" s="54">
        <f t="shared" si="30"/>
        <v>0</v>
      </c>
      <c r="AA152" s="54">
        <f t="shared" si="30"/>
        <v>0</v>
      </c>
      <c r="AB152" s="54">
        <f t="shared" si="30"/>
        <v>0</v>
      </c>
      <c r="AC152" s="54">
        <f t="shared" si="30"/>
        <v>17</v>
      </c>
      <c r="AD152" s="54">
        <f t="shared" si="30"/>
        <v>0</v>
      </c>
      <c r="AE152" s="54">
        <f t="shared" si="30"/>
        <v>8.5</v>
      </c>
      <c r="AF152" s="55">
        <f t="shared" si="32"/>
        <v>25.5</v>
      </c>
    </row>
    <row r="153" spans="1:32" s="39" customFormat="1" x14ac:dyDescent="0.3">
      <c r="A153" s="49" t="s">
        <v>36</v>
      </c>
      <c r="B153" s="50" t="s">
        <v>338</v>
      </c>
      <c r="C153" s="50" t="s">
        <v>325</v>
      </c>
      <c r="D153" s="50" t="s">
        <v>320</v>
      </c>
      <c r="E153" s="51">
        <v>10</v>
      </c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>
        <f>SUM(G153:O153)</f>
        <v>0</v>
      </c>
      <c r="Q153" s="51">
        <f>E153+F153-P153</f>
        <v>10</v>
      </c>
      <c r="R153" s="52">
        <v>200</v>
      </c>
      <c r="S153" s="53">
        <f>Q153*R153</f>
        <v>2000</v>
      </c>
      <c r="U153" s="51">
        <v>6</v>
      </c>
      <c r="V153" s="39">
        <f>Q153+U153</f>
        <v>16</v>
      </c>
      <c r="W153" s="54">
        <f t="shared" si="30"/>
        <v>0</v>
      </c>
      <c r="X153" s="54">
        <f t="shared" si="30"/>
        <v>0</v>
      </c>
      <c r="Y153" s="54">
        <f t="shared" si="30"/>
        <v>0</v>
      </c>
      <c r="Z153" s="54">
        <f t="shared" si="30"/>
        <v>0</v>
      </c>
      <c r="AA153" s="54">
        <f t="shared" si="30"/>
        <v>0</v>
      </c>
      <c r="AB153" s="54">
        <f t="shared" si="30"/>
        <v>0</v>
      </c>
      <c r="AC153" s="54">
        <f t="shared" si="30"/>
        <v>0</v>
      </c>
      <c r="AD153" s="54">
        <f t="shared" si="30"/>
        <v>0</v>
      </c>
      <c r="AE153" s="54">
        <f t="shared" si="30"/>
        <v>0</v>
      </c>
      <c r="AF153" s="55">
        <f t="shared" si="32"/>
        <v>0</v>
      </c>
    </row>
    <row r="154" spans="1:32" s="39" customFormat="1" x14ac:dyDescent="0.3">
      <c r="A154" s="49" t="s">
        <v>36</v>
      </c>
      <c r="B154" s="50" t="s">
        <v>339</v>
      </c>
      <c r="C154" s="87" t="s">
        <v>370</v>
      </c>
      <c r="D154" s="50" t="s">
        <v>1</v>
      </c>
      <c r="E154" s="51">
        <v>1</v>
      </c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>
        <f>SUM(G154:O154)</f>
        <v>0</v>
      </c>
      <c r="Q154" s="51">
        <f>E154+F154-P154</f>
        <v>1</v>
      </c>
      <c r="R154" s="52">
        <v>30</v>
      </c>
      <c r="S154" s="53">
        <f>Q154*R154</f>
        <v>30</v>
      </c>
      <c r="U154" s="51">
        <v>0</v>
      </c>
      <c r="V154" s="39">
        <f>Q154+U154</f>
        <v>1</v>
      </c>
      <c r="W154" s="54">
        <f t="shared" si="30"/>
        <v>0</v>
      </c>
      <c r="X154" s="54">
        <f t="shared" si="30"/>
        <v>0</v>
      </c>
      <c r="Y154" s="54">
        <f t="shared" si="30"/>
        <v>0</v>
      </c>
      <c r="Z154" s="54">
        <f t="shared" si="30"/>
        <v>0</v>
      </c>
      <c r="AA154" s="54">
        <f t="shared" si="30"/>
        <v>0</v>
      </c>
      <c r="AB154" s="54">
        <f t="shared" si="30"/>
        <v>0</v>
      </c>
      <c r="AC154" s="54">
        <f t="shared" si="30"/>
        <v>0</v>
      </c>
      <c r="AD154" s="54">
        <f t="shared" si="30"/>
        <v>0</v>
      </c>
      <c r="AE154" s="54">
        <f t="shared" si="30"/>
        <v>0</v>
      </c>
      <c r="AF154" s="55">
        <f t="shared" si="32"/>
        <v>0</v>
      </c>
    </row>
    <row r="155" spans="1:32" s="39" customFormat="1" x14ac:dyDescent="0.3">
      <c r="A155" s="49" t="s">
        <v>36</v>
      </c>
      <c r="B155" s="50" t="s">
        <v>89</v>
      </c>
      <c r="C155" s="50" t="s">
        <v>326</v>
      </c>
      <c r="D155" s="50" t="s">
        <v>330</v>
      </c>
      <c r="E155" s="51">
        <v>8</v>
      </c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>
        <f t="shared" si="27"/>
        <v>0</v>
      </c>
      <c r="Q155" s="51">
        <f t="shared" si="28"/>
        <v>8</v>
      </c>
      <c r="R155" s="52">
        <v>150</v>
      </c>
      <c r="S155" s="53">
        <f t="shared" si="25"/>
        <v>1200</v>
      </c>
      <c r="U155" s="51">
        <v>13</v>
      </c>
      <c r="V155" s="39">
        <f t="shared" si="29"/>
        <v>21</v>
      </c>
      <c r="W155" s="54">
        <f t="shared" si="30"/>
        <v>0</v>
      </c>
      <c r="X155" s="54">
        <f t="shared" si="30"/>
        <v>0</v>
      </c>
      <c r="Y155" s="54">
        <f t="shared" si="30"/>
        <v>0</v>
      </c>
      <c r="Z155" s="54">
        <f t="shared" si="30"/>
        <v>0</v>
      </c>
      <c r="AA155" s="54">
        <f t="shared" si="30"/>
        <v>0</v>
      </c>
      <c r="AB155" s="54">
        <f t="shared" si="30"/>
        <v>0</v>
      </c>
      <c r="AC155" s="54">
        <f t="shared" si="30"/>
        <v>0</v>
      </c>
      <c r="AD155" s="54">
        <f t="shared" si="30"/>
        <v>0</v>
      </c>
      <c r="AE155" s="54">
        <f t="shared" si="30"/>
        <v>0</v>
      </c>
      <c r="AF155" s="55">
        <f t="shared" si="31"/>
        <v>0</v>
      </c>
    </row>
    <row r="156" spans="1:32" s="39" customFormat="1" x14ac:dyDescent="0.3">
      <c r="A156" s="49" t="s">
        <v>36</v>
      </c>
      <c r="B156" s="50" t="s">
        <v>90</v>
      </c>
      <c r="C156" s="50" t="s">
        <v>20</v>
      </c>
      <c r="D156" s="50" t="s">
        <v>321</v>
      </c>
      <c r="E156" s="51">
        <v>4</v>
      </c>
      <c r="F156" s="51"/>
      <c r="G156" s="51"/>
      <c r="H156" s="51"/>
      <c r="I156" s="51">
        <v>1</v>
      </c>
      <c r="J156" s="51"/>
      <c r="K156" s="51"/>
      <c r="L156" s="51"/>
      <c r="M156" s="51"/>
      <c r="N156" s="51"/>
      <c r="O156" s="51"/>
      <c r="P156" s="51">
        <f>SUM(G156:O156)</f>
        <v>1</v>
      </c>
      <c r="Q156" s="51">
        <f>E156+F156-P156</f>
        <v>3</v>
      </c>
      <c r="R156" s="52">
        <v>300</v>
      </c>
      <c r="S156" s="53">
        <f>Q156*R156</f>
        <v>900</v>
      </c>
      <c r="U156" s="51">
        <v>1</v>
      </c>
      <c r="V156" s="39">
        <f>Q156+U156</f>
        <v>4</v>
      </c>
      <c r="W156" s="54">
        <f t="shared" si="30"/>
        <v>0</v>
      </c>
      <c r="X156" s="54">
        <f t="shared" si="30"/>
        <v>0</v>
      </c>
      <c r="Y156" s="54">
        <f t="shared" si="30"/>
        <v>300</v>
      </c>
      <c r="Z156" s="54">
        <f t="shared" si="30"/>
        <v>0</v>
      </c>
      <c r="AA156" s="54">
        <f t="shared" si="30"/>
        <v>0</v>
      </c>
      <c r="AB156" s="54">
        <f t="shared" si="30"/>
        <v>0</v>
      </c>
      <c r="AC156" s="54">
        <f t="shared" si="30"/>
        <v>0</v>
      </c>
      <c r="AD156" s="54">
        <f t="shared" si="30"/>
        <v>0</v>
      </c>
      <c r="AE156" s="54">
        <f t="shared" si="30"/>
        <v>0</v>
      </c>
      <c r="AF156" s="55">
        <f>$P156*$R156</f>
        <v>300</v>
      </c>
    </row>
    <row r="157" spans="1:32" s="39" customFormat="1" x14ac:dyDescent="0.3">
      <c r="A157" s="49" t="s">
        <v>36</v>
      </c>
      <c r="B157" s="50" t="s">
        <v>91</v>
      </c>
      <c r="C157" s="50" t="s">
        <v>20</v>
      </c>
      <c r="D157" s="50" t="s">
        <v>327</v>
      </c>
      <c r="E157" s="51">
        <v>5</v>
      </c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>
        <f t="shared" si="27"/>
        <v>0</v>
      </c>
      <c r="Q157" s="51">
        <f t="shared" si="28"/>
        <v>5</v>
      </c>
      <c r="R157" s="52">
        <v>350</v>
      </c>
      <c r="S157" s="53">
        <f t="shared" si="25"/>
        <v>1750</v>
      </c>
      <c r="U157" s="51">
        <v>0</v>
      </c>
      <c r="V157" s="39">
        <f t="shared" si="29"/>
        <v>5</v>
      </c>
      <c r="W157" s="54">
        <f t="shared" si="30"/>
        <v>0</v>
      </c>
      <c r="X157" s="54">
        <f t="shared" si="30"/>
        <v>0</v>
      </c>
      <c r="Y157" s="54">
        <f t="shared" si="30"/>
        <v>0</v>
      </c>
      <c r="Z157" s="54">
        <f t="shared" si="30"/>
        <v>0</v>
      </c>
      <c r="AA157" s="54">
        <f t="shared" si="30"/>
        <v>0</v>
      </c>
      <c r="AB157" s="54">
        <f t="shared" si="30"/>
        <v>0</v>
      </c>
      <c r="AC157" s="54">
        <f t="shared" si="30"/>
        <v>0</v>
      </c>
      <c r="AD157" s="54">
        <f t="shared" si="30"/>
        <v>0</v>
      </c>
      <c r="AE157" s="54">
        <f t="shared" si="30"/>
        <v>0</v>
      </c>
      <c r="AF157" s="55">
        <f t="shared" si="31"/>
        <v>0</v>
      </c>
    </row>
    <row r="158" spans="1:32" s="39" customFormat="1" x14ac:dyDescent="0.3">
      <c r="A158" s="49" t="s">
        <v>36</v>
      </c>
      <c r="B158" s="50" t="s">
        <v>340</v>
      </c>
      <c r="C158" s="50" t="s">
        <v>20</v>
      </c>
      <c r="D158" s="50" t="s">
        <v>328</v>
      </c>
      <c r="E158" s="51">
        <v>0</v>
      </c>
      <c r="F158" s="51">
        <v>20</v>
      </c>
      <c r="G158" s="51"/>
      <c r="H158" s="51">
        <v>1</v>
      </c>
      <c r="I158" s="51">
        <v>2</v>
      </c>
      <c r="J158" s="51">
        <v>4</v>
      </c>
      <c r="K158" s="51">
        <v>1</v>
      </c>
      <c r="L158" s="51"/>
      <c r="M158" s="51"/>
      <c r="N158" s="51"/>
      <c r="O158" s="51">
        <v>2</v>
      </c>
      <c r="P158" s="51">
        <f t="shared" si="27"/>
        <v>10</v>
      </c>
      <c r="Q158" s="51">
        <f t="shared" si="28"/>
        <v>10</v>
      </c>
      <c r="R158" s="52">
        <v>95</v>
      </c>
      <c r="S158" s="53">
        <f t="shared" si="25"/>
        <v>950</v>
      </c>
      <c r="U158" s="51">
        <v>0</v>
      </c>
      <c r="V158" s="39">
        <f t="shared" si="29"/>
        <v>10</v>
      </c>
      <c r="W158" s="54">
        <f t="shared" si="30"/>
        <v>0</v>
      </c>
      <c r="X158" s="54">
        <f t="shared" si="30"/>
        <v>95</v>
      </c>
      <c r="Y158" s="54">
        <f t="shared" si="30"/>
        <v>190</v>
      </c>
      <c r="Z158" s="54">
        <f t="shared" si="30"/>
        <v>380</v>
      </c>
      <c r="AA158" s="54">
        <f t="shared" si="30"/>
        <v>95</v>
      </c>
      <c r="AB158" s="54">
        <f t="shared" si="30"/>
        <v>0</v>
      </c>
      <c r="AC158" s="54">
        <f t="shared" si="30"/>
        <v>0</v>
      </c>
      <c r="AD158" s="54">
        <f t="shared" si="30"/>
        <v>0</v>
      </c>
      <c r="AE158" s="54">
        <f t="shared" si="30"/>
        <v>190</v>
      </c>
      <c r="AF158" s="55">
        <f t="shared" si="31"/>
        <v>950</v>
      </c>
    </row>
    <row r="159" spans="1:32" s="39" customFormat="1" x14ac:dyDescent="0.3">
      <c r="A159" s="49" t="s">
        <v>36</v>
      </c>
      <c r="B159" s="50" t="s">
        <v>341</v>
      </c>
      <c r="C159" s="50" t="s">
        <v>325</v>
      </c>
      <c r="D159" s="50" t="s">
        <v>329</v>
      </c>
      <c r="E159" s="51">
        <v>12</v>
      </c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>
        <f t="shared" si="27"/>
        <v>0</v>
      </c>
      <c r="Q159" s="51">
        <f t="shared" si="28"/>
        <v>12</v>
      </c>
      <c r="R159" s="52">
        <v>300</v>
      </c>
      <c r="S159" s="53">
        <f t="shared" si="25"/>
        <v>3600</v>
      </c>
      <c r="U159" s="51"/>
      <c r="V159" s="39">
        <f t="shared" si="29"/>
        <v>12</v>
      </c>
      <c r="W159" s="54">
        <f t="shared" si="30"/>
        <v>0</v>
      </c>
      <c r="X159" s="54">
        <f t="shared" si="30"/>
        <v>0</v>
      </c>
      <c r="Y159" s="54">
        <f t="shared" si="30"/>
        <v>0</v>
      </c>
      <c r="Z159" s="54">
        <f t="shared" si="30"/>
        <v>0</v>
      </c>
      <c r="AA159" s="54">
        <f t="shared" si="30"/>
        <v>0</v>
      </c>
      <c r="AB159" s="54">
        <f t="shared" si="30"/>
        <v>0</v>
      </c>
      <c r="AC159" s="54">
        <f t="shared" si="30"/>
        <v>0</v>
      </c>
      <c r="AD159" s="54">
        <f t="shared" si="30"/>
        <v>0</v>
      </c>
      <c r="AE159" s="54">
        <f t="shared" si="30"/>
        <v>0</v>
      </c>
      <c r="AF159" s="55">
        <f t="shared" si="31"/>
        <v>0</v>
      </c>
    </row>
    <row r="160" spans="1:32" s="12" customFormat="1" x14ac:dyDescent="0.3">
      <c r="A160" s="7" t="s">
        <v>36</v>
      </c>
      <c r="B160" s="8" t="s">
        <v>343</v>
      </c>
      <c r="C160" s="8" t="s">
        <v>326</v>
      </c>
      <c r="D160" s="8" t="s">
        <v>322</v>
      </c>
      <c r="E160" s="9">
        <v>1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>
        <f t="shared" si="27"/>
        <v>0</v>
      </c>
      <c r="Q160" s="9">
        <f t="shared" si="28"/>
        <v>1</v>
      </c>
      <c r="R160" s="10">
        <v>290</v>
      </c>
      <c r="S160" s="11">
        <f t="shared" si="25"/>
        <v>290</v>
      </c>
      <c r="U160" s="9">
        <v>1</v>
      </c>
      <c r="V160" s="39">
        <f t="shared" si="29"/>
        <v>2</v>
      </c>
      <c r="W160" s="45">
        <f t="shared" ref="W160:AE162" si="33">G160*$R160</f>
        <v>0</v>
      </c>
      <c r="X160" s="45">
        <f t="shared" si="33"/>
        <v>0</v>
      </c>
      <c r="Y160" s="45">
        <f t="shared" si="33"/>
        <v>0</v>
      </c>
      <c r="Z160" s="45">
        <f t="shared" si="33"/>
        <v>0</v>
      </c>
      <c r="AA160" s="45">
        <f t="shared" si="33"/>
        <v>0</v>
      </c>
      <c r="AB160" s="45">
        <f t="shared" si="33"/>
        <v>0</v>
      </c>
      <c r="AC160" s="45">
        <f t="shared" si="33"/>
        <v>0</v>
      </c>
      <c r="AD160" s="45">
        <f t="shared" si="33"/>
        <v>0</v>
      </c>
      <c r="AE160" s="45">
        <f t="shared" si="33"/>
        <v>0</v>
      </c>
      <c r="AF160" s="37">
        <f t="shared" si="31"/>
        <v>0</v>
      </c>
    </row>
    <row r="161" spans="1:33" s="12" customFormat="1" x14ac:dyDescent="0.3">
      <c r="A161" s="7" t="s">
        <v>36</v>
      </c>
      <c r="B161" s="8" t="s">
        <v>344</v>
      </c>
      <c r="C161" s="8" t="s">
        <v>369</v>
      </c>
      <c r="D161" s="8" t="s">
        <v>358</v>
      </c>
      <c r="E161" s="9">
        <v>8</v>
      </c>
      <c r="F161" s="9">
        <v>15</v>
      </c>
      <c r="G161" s="9"/>
      <c r="H161" s="9"/>
      <c r="I161" s="9">
        <v>1</v>
      </c>
      <c r="J161" s="9">
        <v>2</v>
      </c>
      <c r="K161" s="9">
        <v>1</v>
      </c>
      <c r="L161" s="9">
        <v>1</v>
      </c>
      <c r="M161" s="9">
        <v>2</v>
      </c>
      <c r="N161" s="9">
        <v>1</v>
      </c>
      <c r="O161" s="9"/>
      <c r="P161" s="9">
        <f>SUM(G161:O161)</f>
        <v>8</v>
      </c>
      <c r="Q161" s="9">
        <f>E161+F161-P161</f>
        <v>15</v>
      </c>
      <c r="R161" s="10">
        <v>300</v>
      </c>
      <c r="S161" s="11">
        <f>Q161*R161</f>
        <v>4500</v>
      </c>
      <c r="U161" s="9">
        <v>8</v>
      </c>
      <c r="V161" s="39">
        <f>Q161+U161</f>
        <v>23</v>
      </c>
      <c r="W161" s="45">
        <f t="shared" si="33"/>
        <v>0</v>
      </c>
      <c r="X161" s="45">
        <f t="shared" si="33"/>
        <v>0</v>
      </c>
      <c r="Y161" s="45">
        <f t="shared" si="33"/>
        <v>300</v>
      </c>
      <c r="Z161" s="45">
        <f t="shared" si="33"/>
        <v>600</v>
      </c>
      <c r="AA161" s="45">
        <f t="shared" si="33"/>
        <v>300</v>
      </c>
      <c r="AB161" s="45">
        <f t="shared" si="33"/>
        <v>300</v>
      </c>
      <c r="AC161" s="45">
        <f t="shared" si="33"/>
        <v>600</v>
      </c>
      <c r="AD161" s="45">
        <f t="shared" si="33"/>
        <v>300</v>
      </c>
      <c r="AE161" s="45">
        <f t="shared" si="33"/>
        <v>0</v>
      </c>
      <c r="AF161" s="37">
        <f>$P161*$R161</f>
        <v>2400</v>
      </c>
    </row>
    <row r="162" spans="1:33" s="12" customFormat="1" x14ac:dyDescent="0.3">
      <c r="A162" s="7" t="s">
        <v>36</v>
      </c>
      <c r="B162" s="8" t="s">
        <v>345</v>
      </c>
      <c r="C162" s="87" t="s">
        <v>370</v>
      </c>
      <c r="D162" s="8" t="s">
        <v>342</v>
      </c>
      <c r="E162" s="9">
        <v>0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>
        <f t="shared" si="27"/>
        <v>0</v>
      </c>
      <c r="Q162" s="9">
        <f t="shared" si="28"/>
        <v>0</v>
      </c>
      <c r="R162" s="10">
        <v>1700</v>
      </c>
      <c r="S162" s="11">
        <f t="shared" si="25"/>
        <v>0</v>
      </c>
      <c r="U162" s="9">
        <v>0</v>
      </c>
      <c r="V162" s="39">
        <v>1</v>
      </c>
      <c r="W162" s="45">
        <f t="shared" si="33"/>
        <v>0</v>
      </c>
      <c r="X162" s="45">
        <f t="shared" si="33"/>
        <v>0</v>
      </c>
      <c r="Y162" s="45">
        <f t="shared" si="33"/>
        <v>0</v>
      </c>
      <c r="Z162" s="45">
        <f t="shared" si="33"/>
        <v>0</v>
      </c>
      <c r="AA162" s="45">
        <f t="shared" si="33"/>
        <v>0</v>
      </c>
      <c r="AB162" s="45">
        <f t="shared" si="33"/>
        <v>0</v>
      </c>
      <c r="AC162" s="45">
        <f t="shared" si="33"/>
        <v>0</v>
      </c>
      <c r="AD162" s="45">
        <f t="shared" si="33"/>
        <v>0</v>
      </c>
      <c r="AE162" s="45">
        <f t="shared" si="33"/>
        <v>0</v>
      </c>
      <c r="AF162" s="37">
        <f t="shared" si="31"/>
        <v>0</v>
      </c>
    </row>
    <row r="163" spans="1:33" s="12" customFormat="1" x14ac:dyDescent="0.3">
      <c r="A163" s="7"/>
      <c r="B163" s="7" t="s">
        <v>23</v>
      </c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13">
        <f>SUM(S11:S162)</f>
        <v>167045.5</v>
      </c>
      <c r="V163" s="39"/>
      <c r="W163" s="46">
        <f t="shared" ref="W163:AF163" si="34">SUM(W11:W162)</f>
        <v>7788</v>
      </c>
      <c r="X163" s="46">
        <f t="shared" si="34"/>
        <v>4160.5</v>
      </c>
      <c r="Y163" s="46">
        <f t="shared" si="34"/>
        <v>5058</v>
      </c>
      <c r="Z163" s="46">
        <f t="shared" si="34"/>
        <v>2918.5</v>
      </c>
      <c r="AA163" s="46" t="e">
        <f t="shared" si="34"/>
        <v>#REF!</v>
      </c>
      <c r="AB163" s="46">
        <f t="shared" si="34"/>
        <v>2727</v>
      </c>
      <c r="AC163" s="46">
        <f t="shared" si="34"/>
        <v>13998</v>
      </c>
      <c r="AD163" s="46">
        <f t="shared" si="34"/>
        <v>2458.5</v>
      </c>
      <c r="AE163" s="46">
        <f t="shared" si="34"/>
        <v>3499.5</v>
      </c>
      <c r="AF163" s="41">
        <f t="shared" si="34"/>
        <v>45542.5</v>
      </c>
      <c r="AG163" s="13">
        <f>SUM(AG10:AG162)</f>
        <v>126370.5</v>
      </c>
    </row>
    <row r="164" spans="1:33" s="12" customFormat="1" x14ac:dyDescent="0.3">
      <c r="B164" s="14"/>
      <c r="C164" s="14"/>
      <c r="D164" s="14"/>
      <c r="S164" s="15"/>
      <c r="V164" s="39"/>
      <c r="AF164" s="44" t="e">
        <f>SUM(W163:AE163)</f>
        <v>#REF!</v>
      </c>
    </row>
    <row r="165" spans="1:33" s="12" customFormat="1" x14ac:dyDescent="0.3">
      <c r="B165" s="14"/>
      <c r="C165" s="14"/>
      <c r="D165" s="14"/>
      <c r="S165" s="15"/>
      <c r="V165" s="39"/>
      <c r="AF165" s="36"/>
    </row>
    <row r="166" spans="1:33" s="12" customFormat="1" x14ac:dyDescent="0.3">
      <c r="B166" s="12" t="s">
        <v>24</v>
      </c>
      <c r="C166" s="14"/>
      <c r="D166" s="14"/>
      <c r="E166" s="12" t="s">
        <v>25</v>
      </c>
      <c r="Q166" s="12" t="s">
        <v>26</v>
      </c>
      <c r="S166" s="15"/>
      <c r="V166" s="39"/>
      <c r="AF166" s="36"/>
    </row>
    <row r="167" spans="1:33" s="12" customFormat="1" x14ac:dyDescent="0.3">
      <c r="C167" s="14"/>
      <c r="D167" s="14"/>
      <c r="S167" s="15"/>
      <c r="V167" s="39"/>
      <c r="AF167" s="36"/>
    </row>
    <row r="168" spans="1:33" s="12" customFormat="1" x14ac:dyDescent="0.3">
      <c r="B168" s="16" t="s">
        <v>30</v>
      </c>
      <c r="C168" s="14"/>
      <c r="D168" s="14"/>
      <c r="E168" s="16" t="s">
        <v>61</v>
      </c>
      <c r="Q168" s="16" t="s">
        <v>28</v>
      </c>
      <c r="S168" s="15"/>
      <c r="V168" s="39"/>
      <c r="AF168" s="36"/>
    </row>
    <row r="169" spans="1:33" s="12" customFormat="1" x14ac:dyDescent="0.3">
      <c r="B169" s="12" t="s">
        <v>29</v>
      </c>
      <c r="C169" s="14"/>
      <c r="D169" s="14"/>
      <c r="E169" s="12" t="s">
        <v>62</v>
      </c>
      <c r="Q169" s="12" t="s">
        <v>27</v>
      </c>
      <c r="S169" s="15"/>
      <c r="V169" s="39"/>
      <c r="AF169" s="36"/>
    </row>
    <row r="170" spans="1:33" s="18" customFormat="1" x14ac:dyDescent="0.3">
      <c r="B170" s="17"/>
      <c r="C170" s="17"/>
      <c r="D170" s="17"/>
      <c r="S170" s="19"/>
      <c r="V170" s="40"/>
      <c r="AF170" s="35"/>
    </row>
    <row r="171" spans="1:33" s="18" customFormat="1" x14ac:dyDescent="0.3">
      <c r="B171" s="17"/>
      <c r="C171" s="17"/>
      <c r="D171" s="17"/>
      <c r="S171" s="19"/>
      <c r="V171" s="40"/>
      <c r="AF171" s="35"/>
    </row>
    <row r="172" spans="1:33" s="18" customFormat="1" x14ac:dyDescent="0.3">
      <c r="B172" s="17"/>
      <c r="C172" s="17"/>
      <c r="D172" s="17"/>
      <c r="S172" s="19"/>
      <c r="V172" s="40"/>
      <c r="AF172" s="35"/>
    </row>
    <row r="173" spans="1:33" s="18" customFormat="1" x14ac:dyDescent="0.3">
      <c r="B173" s="17"/>
      <c r="C173" s="17"/>
      <c r="D173" s="17"/>
      <c r="S173" s="19"/>
      <c r="V173" s="40"/>
      <c r="AF173" s="35"/>
    </row>
    <row r="174" spans="1:33" s="18" customFormat="1" x14ac:dyDescent="0.3">
      <c r="B174" s="17"/>
      <c r="C174" s="17"/>
      <c r="D174" s="17"/>
      <c r="S174" s="19"/>
      <c r="V174" s="40"/>
      <c r="AF174" s="35"/>
    </row>
    <row r="175" spans="1:33" s="18" customFormat="1" x14ac:dyDescent="0.3">
      <c r="B175" s="17"/>
      <c r="C175" s="17"/>
      <c r="D175" s="17"/>
      <c r="S175" s="19"/>
      <c r="V175" s="40"/>
      <c r="AF175" s="35"/>
    </row>
    <row r="176" spans="1:33" s="18" customFormat="1" x14ac:dyDescent="0.3">
      <c r="B176" s="17"/>
      <c r="C176" s="17"/>
      <c r="D176" s="17"/>
      <c r="S176" s="19"/>
      <c r="V176" s="40"/>
      <c r="AF176" s="35"/>
    </row>
    <row r="177" spans="2:32" s="18" customFormat="1" x14ac:dyDescent="0.3">
      <c r="B177" s="17"/>
      <c r="C177" s="17"/>
      <c r="D177" s="17"/>
      <c r="S177" s="19"/>
      <c r="V177" s="40"/>
      <c r="AF177" s="35"/>
    </row>
    <row r="178" spans="2:32" s="18" customFormat="1" x14ac:dyDescent="0.3">
      <c r="B178" s="17"/>
      <c r="C178" s="17"/>
      <c r="D178" s="17"/>
      <c r="S178" s="19"/>
      <c r="V178" s="40"/>
      <c r="AF178" s="35"/>
    </row>
    <row r="179" spans="2:32" s="18" customFormat="1" x14ac:dyDescent="0.3">
      <c r="B179" s="17"/>
      <c r="C179" s="17"/>
      <c r="D179" s="17"/>
      <c r="S179" s="19"/>
      <c r="V179" s="40"/>
      <c r="AF179" s="35"/>
    </row>
    <row r="180" spans="2:32" s="18" customFormat="1" x14ac:dyDescent="0.3">
      <c r="B180" s="17"/>
      <c r="C180" s="17"/>
      <c r="D180" s="17"/>
      <c r="S180" s="19"/>
      <c r="V180" s="40"/>
      <c r="AF180" s="35"/>
    </row>
    <row r="181" spans="2:32" s="18" customFormat="1" x14ac:dyDescent="0.3">
      <c r="B181" s="17"/>
      <c r="C181" s="17"/>
      <c r="D181" s="17"/>
      <c r="S181" s="19"/>
      <c r="V181" s="40"/>
      <c r="AF181" s="35"/>
    </row>
    <row r="182" spans="2:32" s="18" customFormat="1" x14ac:dyDescent="0.3">
      <c r="B182" s="17"/>
      <c r="C182" s="17"/>
      <c r="D182" s="17"/>
      <c r="S182" s="19"/>
      <c r="V182" s="40"/>
      <c r="AF182" s="35"/>
    </row>
    <row r="183" spans="2:32" s="18" customFormat="1" x14ac:dyDescent="0.3">
      <c r="B183" s="17"/>
      <c r="C183" s="17"/>
      <c r="D183" s="17"/>
      <c r="S183" s="19"/>
      <c r="V183" s="40"/>
      <c r="AF183" s="35"/>
    </row>
    <row r="184" spans="2:32" s="18" customFormat="1" x14ac:dyDescent="0.3">
      <c r="B184" s="17"/>
      <c r="C184" s="17"/>
      <c r="D184" s="17"/>
      <c r="S184" s="19"/>
      <c r="AF184" s="35"/>
    </row>
    <row r="185" spans="2:32" s="18" customFormat="1" x14ac:dyDescent="0.3">
      <c r="B185" s="17"/>
      <c r="C185" s="17"/>
      <c r="D185" s="17"/>
      <c r="S185" s="19"/>
      <c r="AF185" s="35"/>
    </row>
    <row r="186" spans="2:32" s="18" customFormat="1" x14ac:dyDescent="0.3">
      <c r="B186" s="17"/>
      <c r="C186" s="17"/>
      <c r="D186" s="17"/>
      <c r="S186" s="19"/>
      <c r="AF186" s="35"/>
    </row>
    <row r="187" spans="2:32" s="18" customFormat="1" x14ac:dyDescent="0.3">
      <c r="B187" s="17"/>
      <c r="C187" s="17"/>
      <c r="D187" s="17"/>
      <c r="S187" s="19"/>
      <c r="AF187" s="35"/>
    </row>
    <row r="188" spans="2:32" s="18" customFormat="1" x14ac:dyDescent="0.3">
      <c r="B188" s="17"/>
      <c r="C188" s="17"/>
      <c r="D188" s="17"/>
      <c r="S188" s="19"/>
      <c r="AF188" s="35"/>
    </row>
    <row r="189" spans="2:32" s="18" customFormat="1" x14ac:dyDescent="0.3">
      <c r="B189" s="17"/>
      <c r="C189" s="17"/>
      <c r="D189" s="17"/>
      <c r="S189" s="19"/>
      <c r="AF189" s="35"/>
    </row>
    <row r="190" spans="2:32" s="18" customFormat="1" x14ac:dyDescent="0.3">
      <c r="B190" s="17"/>
      <c r="C190" s="17"/>
      <c r="D190" s="17"/>
      <c r="S190" s="19"/>
      <c r="AF190" s="35"/>
    </row>
    <row r="191" spans="2:32" s="18" customFormat="1" x14ac:dyDescent="0.3">
      <c r="B191" s="17"/>
      <c r="C191" s="17"/>
      <c r="D191" s="17"/>
      <c r="S191" s="19"/>
      <c r="AF191" s="35"/>
    </row>
    <row r="192" spans="2:32" s="18" customFormat="1" x14ac:dyDescent="0.3">
      <c r="B192" s="17"/>
      <c r="C192" s="17"/>
      <c r="D192" s="17"/>
      <c r="S192" s="19"/>
      <c r="AF192" s="35"/>
    </row>
    <row r="193" spans="2:32" s="18" customFormat="1" x14ac:dyDescent="0.3">
      <c r="B193" s="17"/>
      <c r="C193" s="17"/>
      <c r="D193" s="17"/>
      <c r="S193" s="19"/>
      <c r="AF193" s="35"/>
    </row>
    <row r="194" spans="2:32" s="18" customFormat="1" x14ac:dyDescent="0.3">
      <c r="B194" s="17"/>
      <c r="C194" s="17"/>
      <c r="D194" s="17"/>
      <c r="S194" s="19"/>
      <c r="AF194" s="35"/>
    </row>
    <row r="195" spans="2:32" s="18" customFormat="1" x14ac:dyDescent="0.3">
      <c r="B195" s="17"/>
      <c r="C195" s="17"/>
      <c r="D195" s="17"/>
      <c r="S195" s="19"/>
      <c r="AF195" s="35"/>
    </row>
    <row r="196" spans="2:32" s="18" customFormat="1" x14ac:dyDescent="0.3">
      <c r="B196" s="17"/>
      <c r="C196" s="17"/>
      <c r="D196" s="17"/>
      <c r="S196" s="19"/>
      <c r="AF196" s="35"/>
    </row>
    <row r="197" spans="2:32" s="18" customFormat="1" x14ac:dyDescent="0.3">
      <c r="B197" s="17"/>
      <c r="C197" s="17"/>
      <c r="D197" s="17"/>
      <c r="S197" s="19"/>
      <c r="AF197" s="35"/>
    </row>
    <row r="198" spans="2:32" s="18" customFormat="1" x14ac:dyDescent="0.3">
      <c r="B198" s="17"/>
      <c r="C198" s="17"/>
      <c r="D198" s="17"/>
      <c r="S198" s="19"/>
      <c r="AF198" s="35"/>
    </row>
    <row r="199" spans="2:32" s="18" customFormat="1" x14ac:dyDescent="0.3">
      <c r="B199" s="17"/>
      <c r="C199" s="17"/>
      <c r="D199" s="17"/>
      <c r="S199" s="19"/>
      <c r="AF199" s="35"/>
    </row>
    <row r="200" spans="2:32" s="18" customFormat="1" x14ac:dyDescent="0.3">
      <c r="B200" s="17"/>
      <c r="C200" s="17"/>
      <c r="D200" s="17"/>
      <c r="S200" s="19"/>
      <c r="AF200" s="35"/>
    </row>
    <row r="201" spans="2:32" s="18" customFormat="1" x14ac:dyDescent="0.3">
      <c r="B201" s="17"/>
      <c r="C201" s="17"/>
      <c r="D201" s="17"/>
      <c r="S201" s="19"/>
      <c r="AF201" s="35"/>
    </row>
    <row r="202" spans="2:32" s="18" customFormat="1" x14ac:dyDescent="0.3">
      <c r="B202" s="17"/>
      <c r="C202" s="17"/>
      <c r="D202" s="17"/>
      <c r="S202" s="19"/>
      <c r="AF202" s="35"/>
    </row>
    <row r="203" spans="2:32" s="18" customFormat="1" x14ac:dyDescent="0.3">
      <c r="B203" s="17"/>
      <c r="C203" s="17"/>
      <c r="D203" s="17"/>
      <c r="S203" s="19"/>
      <c r="AF203" s="35"/>
    </row>
    <row r="204" spans="2:32" s="18" customFormat="1" x14ac:dyDescent="0.3">
      <c r="B204" s="17"/>
      <c r="C204" s="17"/>
      <c r="D204" s="17"/>
      <c r="S204" s="19"/>
      <c r="AF204" s="35"/>
    </row>
    <row r="205" spans="2:32" s="18" customFormat="1" x14ac:dyDescent="0.3">
      <c r="B205" s="17"/>
      <c r="C205" s="17"/>
      <c r="D205" s="17"/>
      <c r="S205" s="19"/>
      <c r="AF205" s="35"/>
    </row>
    <row r="206" spans="2:32" s="18" customFormat="1" x14ac:dyDescent="0.3">
      <c r="B206" s="17"/>
      <c r="C206" s="17"/>
      <c r="D206" s="17"/>
      <c r="S206" s="19"/>
      <c r="AF206" s="35"/>
    </row>
    <row r="207" spans="2:32" s="18" customFormat="1" x14ac:dyDescent="0.3">
      <c r="B207" s="17"/>
      <c r="C207" s="17"/>
      <c r="D207" s="17"/>
      <c r="S207" s="19"/>
      <c r="AF207" s="35"/>
    </row>
    <row r="208" spans="2:32" s="18" customFormat="1" x14ac:dyDescent="0.3">
      <c r="B208" s="17"/>
      <c r="C208" s="17"/>
      <c r="D208" s="17"/>
      <c r="S208" s="19"/>
      <c r="AF208" s="35"/>
    </row>
    <row r="209" spans="2:32" s="18" customFormat="1" x14ac:dyDescent="0.3">
      <c r="B209" s="17"/>
      <c r="C209" s="17"/>
      <c r="D209" s="17"/>
      <c r="S209" s="19"/>
      <c r="AF209" s="35"/>
    </row>
    <row r="210" spans="2:32" s="18" customFormat="1" x14ac:dyDescent="0.3">
      <c r="B210" s="17"/>
      <c r="C210" s="17"/>
      <c r="D210" s="17"/>
      <c r="S210" s="19"/>
      <c r="AF210" s="35"/>
    </row>
    <row r="211" spans="2:32" s="18" customFormat="1" x14ac:dyDescent="0.3">
      <c r="B211" s="17"/>
      <c r="C211" s="17"/>
      <c r="D211" s="17"/>
      <c r="S211" s="19"/>
      <c r="AF211" s="35"/>
    </row>
    <row r="212" spans="2:32" s="18" customFormat="1" x14ac:dyDescent="0.3">
      <c r="B212" s="17"/>
      <c r="C212" s="17"/>
      <c r="D212" s="17"/>
      <c r="S212" s="19"/>
      <c r="AF212" s="35"/>
    </row>
    <row r="213" spans="2:32" s="18" customFormat="1" x14ac:dyDescent="0.3">
      <c r="B213" s="17"/>
      <c r="C213" s="17"/>
      <c r="D213" s="17"/>
      <c r="S213" s="19"/>
      <c r="AF213" s="35"/>
    </row>
    <row r="214" spans="2:32" s="18" customFormat="1" x14ac:dyDescent="0.3">
      <c r="B214" s="17"/>
      <c r="C214" s="17"/>
      <c r="D214" s="17"/>
      <c r="S214" s="19"/>
      <c r="AF214" s="35"/>
    </row>
    <row r="215" spans="2:32" s="18" customFormat="1" x14ac:dyDescent="0.3">
      <c r="B215" s="17"/>
      <c r="C215" s="17"/>
      <c r="D215" s="17"/>
      <c r="S215" s="19"/>
      <c r="AF215" s="35"/>
    </row>
    <row r="216" spans="2:32" s="18" customFormat="1" x14ac:dyDescent="0.3">
      <c r="B216" s="17"/>
      <c r="C216" s="17"/>
      <c r="D216" s="17"/>
      <c r="S216" s="19"/>
      <c r="AF216" s="35"/>
    </row>
    <row r="217" spans="2:32" s="18" customFormat="1" x14ac:dyDescent="0.3">
      <c r="B217" s="17"/>
      <c r="C217" s="17"/>
      <c r="D217" s="17"/>
      <c r="S217" s="19"/>
      <c r="AF217" s="35"/>
    </row>
    <row r="218" spans="2:32" s="18" customFormat="1" x14ac:dyDescent="0.3">
      <c r="B218" s="17"/>
      <c r="C218" s="17"/>
      <c r="D218" s="17"/>
      <c r="S218" s="19"/>
      <c r="AF218" s="35"/>
    </row>
    <row r="219" spans="2:32" s="18" customFormat="1" x14ac:dyDescent="0.3">
      <c r="B219" s="17"/>
      <c r="C219" s="17"/>
      <c r="D219" s="17"/>
      <c r="S219" s="19"/>
      <c r="AF219" s="35"/>
    </row>
    <row r="220" spans="2:32" s="18" customFormat="1" x14ac:dyDescent="0.3">
      <c r="B220" s="17"/>
      <c r="C220" s="17"/>
      <c r="D220" s="17"/>
      <c r="S220" s="19"/>
      <c r="AF220" s="35"/>
    </row>
    <row r="221" spans="2:32" s="18" customFormat="1" x14ac:dyDescent="0.3">
      <c r="B221" s="17"/>
      <c r="C221" s="17"/>
      <c r="D221" s="17"/>
      <c r="S221" s="19"/>
      <c r="AF221" s="35"/>
    </row>
    <row r="222" spans="2:32" s="18" customFormat="1" x14ac:dyDescent="0.3">
      <c r="B222" s="17"/>
      <c r="C222" s="17"/>
      <c r="D222" s="17"/>
      <c r="S222" s="19"/>
      <c r="AF222" s="35"/>
    </row>
    <row r="223" spans="2:32" s="18" customFormat="1" x14ac:dyDescent="0.3">
      <c r="B223" s="17"/>
      <c r="C223" s="17"/>
      <c r="D223" s="17"/>
      <c r="S223" s="19"/>
      <c r="AF223" s="35"/>
    </row>
    <row r="224" spans="2:32" s="18" customFormat="1" x14ac:dyDescent="0.3">
      <c r="B224" s="17"/>
      <c r="C224" s="17"/>
      <c r="D224" s="17"/>
      <c r="S224" s="19"/>
      <c r="AF224" s="35"/>
    </row>
    <row r="225" spans="2:32" s="18" customFormat="1" x14ac:dyDescent="0.3">
      <c r="B225" s="17"/>
      <c r="C225" s="17"/>
      <c r="D225" s="17"/>
      <c r="S225" s="19"/>
      <c r="AF225" s="35"/>
    </row>
    <row r="226" spans="2:32" s="18" customFormat="1" x14ac:dyDescent="0.3">
      <c r="B226" s="17"/>
      <c r="C226" s="17"/>
      <c r="D226" s="17"/>
      <c r="S226" s="19"/>
      <c r="AF226" s="35"/>
    </row>
    <row r="6557" spans="38:38" x14ac:dyDescent="0.3">
      <c r="AL6557" s="2" t="s">
        <v>11</v>
      </c>
    </row>
  </sheetData>
  <autoFilter ref="A6:S163" xr:uid="{00000000-0009-0000-0000-000002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6">
    <mergeCell ref="R8:R9"/>
    <mergeCell ref="S8:S9"/>
    <mergeCell ref="W8:AE8"/>
    <mergeCell ref="AF8:AF9"/>
    <mergeCell ref="B8:B9"/>
    <mergeCell ref="C8:C9"/>
    <mergeCell ref="E8:E9"/>
    <mergeCell ref="G8:O8"/>
    <mergeCell ref="P8:P9"/>
    <mergeCell ref="Q8:Q9"/>
    <mergeCell ref="B7:R7"/>
    <mergeCell ref="B1:R1"/>
    <mergeCell ref="B2:R2"/>
    <mergeCell ref="B3:R3"/>
    <mergeCell ref="B4:R4"/>
    <mergeCell ref="B6:R6"/>
  </mergeCells>
  <pageMargins left="0.7" right="0.49" top="0.75" bottom="0.75" header="0.3" footer="0.3"/>
  <pageSetup paperSize="9" scale="85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2888-8ACF-4158-A969-9C15495D08E8}">
  <dimension ref="A1:AK6557"/>
  <sheetViews>
    <sheetView tabSelected="1" topLeftCell="U150" zoomScale="99" zoomScaleNormal="99" workbookViewId="0">
      <selection activeCell="AA165" sqref="AA165"/>
    </sheetView>
  </sheetViews>
  <sheetFormatPr defaultColWidth="9.1796875" defaultRowHeight="13" x14ac:dyDescent="0.3"/>
  <cols>
    <col min="1" max="1" width="6.81640625" style="2" customWidth="1"/>
    <col min="2" max="2" width="10.453125" style="4" customWidth="1"/>
    <col min="3" max="3" width="5.453125" style="4" customWidth="1"/>
    <col min="4" max="4" width="29.90625" style="4" customWidth="1"/>
    <col min="5" max="5" width="9.08984375" style="2" customWidth="1"/>
    <col min="6" max="6" width="13.90625" style="2" customWidth="1"/>
    <col min="7" max="14" width="4" style="2" hidden="1" customWidth="1"/>
    <col min="15" max="15" width="8.984375E-2" style="2" customWidth="1"/>
    <col min="16" max="16" width="9" style="2" customWidth="1"/>
    <col min="17" max="17" width="9.1796875" style="2" customWidth="1"/>
    <col min="18" max="18" width="8.453125" style="2" customWidth="1"/>
    <col min="19" max="19" width="14.26953125" style="3" customWidth="1"/>
    <col min="20" max="20" width="2.7265625" style="2" customWidth="1"/>
    <col min="21" max="21" width="5.54296875" style="2" customWidth="1"/>
    <col min="22" max="22" width="7.1796875" style="2" customWidth="1"/>
    <col min="23" max="23" width="9" style="2" customWidth="1"/>
    <col min="24" max="31" width="9.54296875" style="2" customWidth="1"/>
    <col min="32" max="32" width="13.26953125" style="35" customWidth="1"/>
    <col min="33" max="36" width="9.1796875" style="2"/>
    <col min="37" max="37" width="9.7265625" style="2" customWidth="1"/>
    <col min="38" max="16384" width="9.1796875" style="2"/>
  </cols>
  <sheetData>
    <row r="1" spans="1:32" ht="14.5" x14ac:dyDescent="0.35">
      <c r="B1" s="106" t="s">
        <v>15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2"/>
      <c r="AB1" s="35"/>
      <c r="AF1" s="2"/>
    </row>
    <row r="2" spans="1:32" ht="14.5" x14ac:dyDescent="0.35">
      <c r="B2" s="106" t="s">
        <v>12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/>
      <c r="T2"/>
      <c r="U2"/>
      <c r="V2"/>
      <c r="W2"/>
      <c r="X2"/>
      <c r="Y2"/>
      <c r="Z2"/>
      <c r="AA2"/>
      <c r="AB2" s="35"/>
      <c r="AF2" s="2"/>
    </row>
    <row r="3" spans="1:32" ht="14.5" x14ac:dyDescent="0.35">
      <c r="B3" s="106" t="s">
        <v>14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/>
      <c r="T3"/>
      <c r="U3"/>
      <c r="V3"/>
      <c r="W3"/>
      <c r="X3"/>
      <c r="Y3"/>
      <c r="Z3"/>
      <c r="AA3"/>
      <c r="AB3" s="35"/>
      <c r="AF3" s="2"/>
    </row>
    <row r="4" spans="1:32" ht="14.5" x14ac:dyDescent="0.35">
      <c r="B4" s="106" t="s">
        <v>13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/>
      <c r="T4"/>
      <c r="U4"/>
      <c r="V4"/>
      <c r="W4"/>
      <c r="X4"/>
      <c r="Y4"/>
      <c r="Z4"/>
      <c r="AA4"/>
      <c r="AB4" s="35"/>
      <c r="AF4" s="2"/>
    </row>
    <row r="5" spans="1:32" ht="14.5" x14ac:dyDescent="0.3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/>
      <c r="T5" t="s">
        <v>10</v>
      </c>
      <c r="U5"/>
      <c r="V5"/>
      <c r="W5"/>
      <c r="X5"/>
      <c r="Y5"/>
      <c r="Z5"/>
      <c r="AA5"/>
      <c r="AB5" s="35"/>
      <c r="AF5" s="2"/>
    </row>
    <row r="6" spans="1:32" x14ac:dyDescent="0.3">
      <c r="B6" s="107" t="s">
        <v>346</v>
      </c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2"/>
      <c r="AB6" s="35"/>
      <c r="AF6" s="2"/>
    </row>
    <row r="7" spans="1:32" s="1" customFormat="1" x14ac:dyDescent="0.3">
      <c r="B7" s="105" t="s">
        <v>63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AB7" s="36"/>
    </row>
    <row r="8" spans="1:32" s="1" customFormat="1" ht="53.5" customHeight="1" x14ac:dyDescent="0.3">
      <c r="A8" s="27" t="s">
        <v>35</v>
      </c>
      <c r="B8" s="113" t="s">
        <v>0</v>
      </c>
      <c r="C8" s="115" t="s">
        <v>34</v>
      </c>
      <c r="D8" s="48" t="s">
        <v>113</v>
      </c>
      <c r="E8" s="108" t="s">
        <v>32</v>
      </c>
      <c r="F8" s="27" t="s">
        <v>39</v>
      </c>
      <c r="G8" s="117" t="s">
        <v>59</v>
      </c>
      <c r="H8" s="118"/>
      <c r="I8" s="118"/>
      <c r="J8" s="118"/>
      <c r="K8" s="118"/>
      <c r="L8" s="118"/>
      <c r="M8" s="118"/>
      <c r="N8" s="118"/>
      <c r="O8" s="118"/>
      <c r="P8" s="108" t="s">
        <v>33</v>
      </c>
      <c r="Q8" s="119" t="s">
        <v>38</v>
      </c>
      <c r="R8" s="108" t="s">
        <v>16</v>
      </c>
      <c r="S8" s="108" t="s">
        <v>57</v>
      </c>
      <c r="U8" s="1" t="s">
        <v>31</v>
      </c>
      <c r="V8" s="38" t="s">
        <v>58</v>
      </c>
      <c r="W8" s="110" t="s">
        <v>60</v>
      </c>
      <c r="X8" s="110"/>
      <c r="Y8" s="110"/>
      <c r="Z8" s="110"/>
      <c r="AA8" s="110"/>
      <c r="AB8" s="110"/>
      <c r="AC8" s="110"/>
      <c r="AD8" s="110"/>
      <c r="AE8" s="110"/>
      <c r="AF8" s="111" t="s">
        <v>46</v>
      </c>
    </row>
    <row r="9" spans="1:32" s="1" customFormat="1" x14ac:dyDescent="0.3">
      <c r="A9" s="25"/>
      <c r="B9" s="114"/>
      <c r="C9" s="116"/>
      <c r="D9" s="47"/>
      <c r="E9" s="109"/>
      <c r="F9" s="26"/>
      <c r="G9" s="42">
        <v>1</v>
      </c>
      <c r="H9" s="42">
        <v>2</v>
      </c>
      <c r="I9" s="42">
        <v>3</v>
      </c>
      <c r="J9" s="42">
        <v>4</v>
      </c>
      <c r="K9" s="42">
        <v>5</v>
      </c>
      <c r="L9" s="42">
        <v>6</v>
      </c>
      <c r="M9" s="42">
        <v>7</v>
      </c>
      <c r="N9" s="42">
        <v>8</v>
      </c>
      <c r="O9" s="42">
        <v>9</v>
      </c>
      <c r="P9" s="109"/>
      <c r="Q9" s="120"/>
      <c r="R9" s="109"/>
      <c r="S9" s="109"/>
      <c r="V9" s="39"/>
      <c r="W9" s="42">
        <v>1</v>
      </c>
      <c r="X9" s="42">
        <v>2</v>
      </c>
      <c r="Y9" s="42">
        <v>3</v>
      </c>
      <c r="Z9" s="42">
        <v>4</v>
      </c>
      <c r="AA9" s="42">
        <v>5</v>
      </c>
      <c r="AB9" s="42">
        <v>6</v>
      </c>
      <c r="AC9" s="42">
        <v>7</v>
      </c>
      <c r="AD9" s="42">
        <v>8</v>
      </c>
      <c r="AE9" s="42">
        <v>9</v>
      </c>
      <c r="AF9" s="112"/>
    </row>
    <row r="10" spans="1:32" s="1" customFormat="1" x14ac:dyDescent="0.3">
      <c r="B10" s="20" t="s">
        <v>3</v>
      </c>
      <c r="C10" s="21"/>
      <c r="D10" s="21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2"/>
      <c r="S10" s="24"/>
      <c r="V10" s="39"/>
      <c r="W10" s="43"/>
      <c r="X10" s="43"/>
      <c r="Y10" s="43"/>
      <c r="Z10" s="43"/>
      <c r="AA10" s="43"/>
      <c r="AB10" s="43"/>
      <c r="AC10" s="43"/>
      <c r="AD10" s="43"/>
      <c r="AE10" s="43"/>
      <c r="AF10" s="36"/>
    </row>
    <row r="11" spans="1:32" s="39" customFormat="1" x14ac:dyDescent="0.3">
      <c r="A11" s="49" t="s">
        <v>36</v>
      </c>
      <c r="B11" s="50" t="s">
        <v>69</v>
      </c>
      <c r="C11" s="50" t="s">
        <v>370</v>
      </c>
      <c r="D11" s="50" t="s">
        <v>115</v>
      </c>
      <c r="E11" s="51">
        <v>49</v>
      </c>
      <c r="F11" s="51"/>
      <c r="G11" s="51"/>
      <c r="H11" s="51"/>
      <c r="I11" s="51">
        <v>1</v>
      </c>
      <c r="J11" s="51">
        <v>1</v>
      </c>
      <c r="K11" s="51">
        <v>1</v>
      </c>
      <c r="L11" s="51">
        <v>1</v>
      </c>
      <c r="M11" s="51"/>
      <c r="N11" s="51"/>
      <c r="O11" s="51">
        <v>2</v>
      </c>
      <c r="P11" s="51">
        <f t="shared" ref="P11:P93" si="0">SUM(G11:O11)</f>
        <v>6</v>
      </c>
      <c r="Q11" s="51">
        <f t="shared" ref="Q11:Q93" si="1">E11+F11-P11</f>
        <v>43</v>
      </c>
      <c r="R11" s="52">
        <v>11</v>
      </c>
      <c r="S11" s="53">
        <f>Q11*R11</f>
        <v>473</v>
      </c>
      <c r="U11" s="39">
        <v>500</v>
      </c>
      <c r="V11" s="39">
        <f>Q11+U11</f>
        <v>543</v>
      </c>
      <c r="W11" s="54">
        <f t="shared" ref="W11:W54" si="2">G11*$R11</f>
        <v>0</v>
      </c>
      <c r="X11" s="54">
        <f t="shared" ref="X11:X54" si="3">H11*$R11</f>
        <v>0</v>
      </c>
      <c r="Y11" s="54">
        <f t="shared" ref="Y11:Y54" si="4">I11*$R11</f>
        <v>11</v>
      </c>
      <c r="Z11" s="54">
        <f t="shared" ref="Z11" si="5">J11*$R11</f>
        <v>11</v>
      </c>
      <c r="AA11" s="54">
        <f t="shared" ref="AA11:AB11" si="6">K11*$R11</f>
        <v>11</v>
      </c>
      <c r="AB11" s="54">
        <f t="shared" si="6"/>
        <v>11</v>
      </c>
      <c r="AC11" s="54">
        <f t="shared" ref="AC11:AC54" si="7">M11*$R11</f>
        <v>0</v>
      </c>
      <c r="AD11" s="54">
        <f t="shared" ref="AD11:AD54" si="8">N11*$R11</f>
        <v>0</v>
      </c>
      <c r="AE11" s="54">
        <f t="shared" ref="AE11:AE54" si="9">O11*$R11</f>
        <v>22</v>
      </c>
      <c r="AF11" s="55">
        <f>$P11*$R11</f>
        <v>66</v>
      </c>
    </row>
    <row r="12" spans="1:32" s="39" customFormat="1" x14ac:dyDescent="0.3">
      <c r="A12" s="49" t="s">
        <v>36</v>
      </c>
      <c r="B12" s="50" t="s">
        <v>70</v>
      </c>
      <c r="C12" s="50" t="s">
        <v>370</v>
      </c>
      <c r="D12" s="50" t="s">
        <v>151</v>
      </c>
      <c r="E12" s="51">
        <v>0</v>
      </c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>
        <f t="shared" si="0"/>
        <v>0</v>
      </c>
      <c r="Q12" s="51">
        <f t="shared" si="1"/>
        <v>0</v>
      </c>
      <c r="R12" s="52">
        <v>11</v>
      </c>
      <c r="S12" s="53">
        <f t="shared" ref="S12:S93" si="10">Q12*R12</f>
        <v>0</v>
      </c>
      <c r="T12" s="56"/>
      <c r="U12" s="39">
        <v>0</v>
      </c>
      <c r="V12" s="39">
        <f t="shared" ref="V12:V93" si="11">Q12+U12</f>
        <v>0</v>
      </c>
      <c r="W12" s="54">
        <f t="shared" si="2"/>
        <v>0</v>
      </c>
      <c r="X12" s="54">
        <f t="shared" si="3"/>
        <v>0</v>
      </c>
      <c r="Y12" s="54">
        <f t="shared" si="4"/>
        <v>0</v>
      </c>
      <c r="Z12" s="54">
        <f t="shared" ref="Z12:Z93" si="12">J12*$R12</f>
        <v>0</v>
      </c>
      <c r="AA12" s="54">
        <f t="shared" ref="AA12:AA93" si="13">K12*$R12</f>
        <v>0</v>
      </c>
      <c r="AB12" s="54">
        <f t="shared" ref="AB12:AB93" si="14">L12*$R12</f>
        <v>0</v>
      </c>
      <c r="AC12" s="54">
        <f t="shared" si="7"/>
        <v>0</v>
      </c>
      <c r="AD12" s="54">
        <f t="shared" si="8"/>
        <v>0</v>
      </c>
      <c r="AE12" s="54">
        <f t="shared" si="9"/>
        <v>0</v>
      </c>
      <c r="AF12" s="55">
        <f t="shared" ref="AF12" si="15">$P12*$R12</f>
        <v>0</v>
      </c>
    </row>
    <row r="13" spans="1:32" s="39" customFormat="1" x14ac:dyDescent="0.3">
      <c r="A13" s="49" t="s">
        <v>36</v>
      </c>
      <c r="B13" s="50" t="s">
        <v>71</v>
      </c>
      <c r="C13" s="50" t="s">
        <v>370</v>
      </c>
      <c r="D13" s="50" t="s">
        <v>116</v>
      </c>
      <c r="E13" s="51">
        <v>0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>
        <f>SUM(G13:O13)</f>
        <v>0</v>
      </c>
      <c r="Q13" s="51">
        <f>E13+F13-P13</f>
        <v>0</v>
      </c>
      <c r="R13" s="52">
        <v>14</v>
      </c>
      <c r="S13" s="53">
        <f>Q13*R13</f>
        <v>0</v>
      </c>
      <c r="V13" s="39">
        <f>Q13+U13</f>
        <v>0</v>
      </c>
      <c r="W13" s="54">
        <f t="shared" ref="W13:AF16" si="16">G13*$R13</f>
        <v>0</v>
      </c>
      <c r="X13" s="54">
        <f t="shared" si="16"/>
        <v>0</v>
      </c>
      <c r="Y13" s="54">
        <f t="shared" si="16"/>
        <v>0</v>
      </c>
      <c r="Z13" s="54">
        <f t="shared" si="16"/>
        <v>0</v>
      </c>
      <c r="AA13" s="54">
        <f t="shared" si="16"/>
        <v>0</v>
      </c>
      <c r="AB13" s="54">
        <f t="shared" si="16"/>
        <v>0</v>
      </c>
      <c r="AC13" s="54">
        <f t="shared" si="16"/>
        <v>0</v>
      </c>
      <c r="AD13" s="54">
        <f t="shared" si="16"/>
        <v>0</v>
      </c>
      <c r="AE13" s="54">
        <f t="shared" si="16"/>
        <v>0</v>
      </c>
      <c r="AF13" s="54">
        <f t="shared" si="16"/>
        <v>0</v>
      </c>
    </row>
    <row r="14" spans="1:32" s="39" customFormat="1" x14ac:dyDescent="0.3">
      <c r="A14" s="49" t="s">
        <v>36</v>
      </c>
      <c r="B14" s="50" t="s">
        <v>114</v>
      </c>
      <c r="C14" s="50" t="s">
        <v>370</v>
      </c>
      <c r="D14" s="50" t="s">
        <v>117</v>
      </c>
      <c r="E14" s="51">
        <v>24</v>
      </c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>
        <f>SUM(G14:O14)</f>
        <v>0</v>
      </c>
      <c r="Q14" s="51">
        <f>E14+F14-P14</f>
        <v>24</v>
      </c>
      <c r="R14" s="52">
        <v>14</v>
      </c>
      <c r="S14" s="53">
        <f>Q14*R14</f>
        <v>336</v>
      </c>
      <c r="V14" s="39">
        <f>Q14+U14</f>
        <v>24</v>
      </c>
      <c r="W14" s="54">
        <f t="shared" si="16"/>
        <v>0</v>
      </c>
      <c r="X14" s="54">
        <f t="shared" si="16"/>
        <v>0</v>
      </c>
      <c r="Y14" s="54">
        <f t="shared" si="16"/>
        <v>0</v>
      </c>
      <c r="Z14" s="54">
        <f t="shared" si="16"/>
        <v>0</v>
      </c>
      <c r="AA14" s="54">
        <f t="shared" si="16"/>
        <v>0</v>
      </c>
      <c r="AB14" s="54">
        <f t="shared" si="16"/>
        <v>0</v>
      </c>
      <c r="AC14" s="54">
        <f t="shared" si="16"/>
        <v>0</v>
      </c>
      <c r="AD14" s="54">
        <f t="shared" si="16"/>
        <v>0</v>
      </c>
      <c r="AE14" s="54">
        <f t="shared" si="16"/>
        <v>0</v>
      </c>
      <c r="AF14" s="54">
        <f t="shared" si="16"/>
        <v>0</v>
      </c>
    </row>
    <row r="15" spans="1:32" s="39" customFormat="1" x14ac:dyDescent="0.3">
      <c r="A15" s="49" t="s">
        <v>36</v>
      </c>
      <c r="B15" s="50" t="s">
        <v>149</v>
      </c>
      <c r="C15" s="50" t="s">
        <v>370</v>
      </c>
      <c r="D15" s="50" t="s">
        <v>118</v>
      </c>
      <c r="E15" s="51">
        <v>12</v>
      </c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>
        <f>SUM(G15:O15)</f>
        <v>0</v>
      </c>
      <c r="Q15" s="51">
        <f>E15+F15-P15</f>
        <v>12</v>
      </c>
      <c r="R15" s="52">
        <v>14</v>
      </c>
      <c r="S15" s="53">
        <f>Q15*R15</f>
        <v>168</v>
      </c>
      <c r="V15" s="39">
        <f>Q15+U15</f>
        <v>12</v>
      </c>
      <c r="W15" s="54">
        <f t="shared" si="16"/>
        <v>0</v>
      </c>
      <c r="X15" s="54">
        <f t="shared" si="16"/>
        <v>0</v>
      </c>
      <c r="Y15" s="54">
        <f t="shared" si="16"/>
        <v>0</v>
      </c>
      <c r="Z15" s="54">
        <f t="shared" si="16"/>
        <v>0</v>
      </c>
      <c r="AA15" s="54">
        <f t="shared" si="16"/>
        <v>0</v>
      </c>
      <c r="AB15" s="54">
        <f t="shared" si="16"/>
        <v>0</v>
      </c>
      <c r="AC15" s="54">
        <f t="shared" si="16"/>
        <v>0</v>
      </c>
      <c r="AD15" s="54">
        <f t="shared" si="16"/>
        <v>0</v>
      </c>
      <c r="AE15" s="54">
        <f t="shared" si="16"/>
        <v>0</v>
      </c>
      <c r="AF15" s="54">
        <f t="shared" si="16"/>
        <v>0</v>
      </c>
    </row>
    <row r="16" spans="1:32" s="39" customFormat="1" x14ac:dyDescent="0.3">
      <c r="A16" s="49" t="s">
        <v>36</v>
      </c>
      <c r="B16" s="50" t="s">
        <v>150</v>
      </c>
      <c r="C16" s="50" t="s">
        <v>370</v>
      </c>
      <c r="D16" s="50" t="s">
        <v>119</v>
      </c>
      <c r="E16" s="51">
        <v>36</v>
      </c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>
        <f>SUM(G16:O16)</f>
        <v>0</v>
      </c>
      <c r="Q16" s="51">
        <f>E16+F16-P16</f>
        <v>36</v>
      </c>
      <c r="R16" s="52">
        <v>14</v>
      </c>
      <c r="S16" s="53">
        <f>Q16*R16</f>
        <v>504</v>
      </c>
      <c r="V16" s="39">
        <f>Q16+U16</f>
        <v>36</v>
      </c>
      <c r="W16" s="54">
        <f t="shared" si="16"/>
        <v>0</v>
      </c>
      <c r="X16" s="54">
        <f t="shared" si="16"/>
        <v>0</v>
      </c>
      <c r="Y16" s="54">
        <f t="shared" si="16"/>
        <v>0</v>
      </c>
      <c r="Z16" s="54">
        <f t="shared" si="16"/>
        <v>0</v>
      </c>
      <c r="AA16" s="54">
        <f t="shared" si="16"/>
        <v>0</v>
      </c>
      <c r="AB16" s="54">
        <f t="shared" si="16"/>
        <v>0</v>
      </c>
      <c r="AC16" s="54">
        <f t="shared" si="16"/>
        <v>0</v>
      </c>
      <c r="AD16" s="54">
        <f t="shared" si="16"/>
        <v>0</v>
      </c>
      <c r="AE16" s="54">
        <f t="shared" si="16"/>
        <v>0</v>
      </c>
      <c r="AF16" s="54">
        <f t="shared" si="16"/>
        <v>0</v>
      </c>
    </row>
    <row r="17" spans="1:32" s="39" customFormat="1" x14ac:dyDescent="0.3">
      <c r="A17" s="49" t="s">
        <v>36</v>
      </c>
      <c r="B17" s="50" t="s">
        <v>148</v>
      </c>
      <c r="C17" s="50" t="s">
        <v>370</v>
      </c>
      <c r="D17" s="50" t="s">
        <v>120</v>
      </c>
      <c r="E17" s="51">
        <v>70</v>
      </c>
      <c r="F17" s="51"/>
      <c r="G17" s="51">
        <v>3</v>
      </c>
      <c r="H17" s="51">
        <v>2</v>
      </c>
      <c r="I17" s="51">
        <v>3</v>
      </c>
      <c r="J17" s="51">
        <v>1</v>
      </c>
      <c r="K17" s="51"/>
      <c r="L17" s="51"/>
      <c r="M17" s="51"/>
      <c r="N17" s="51"/>
      <c r="O17" s="51"/>
      <c r="P17" s="51">
        <f t="shared" si="0"/>
        <v>9</v>
      </c>
      <c r="Q17" s="51">
        <f t="shared" si="1"/>
        <v>61</v>
      </c>
      <c r="R17" s="52">
        <v>35</v>
      </c>
      <c r="S17" s="53">
        <f t="shared" si="10"/>
        <v>2135</v>
      </c>
      <c r="V17" s="39">
        <f t="shared" si="11"/>
        <v>61</v>
      </c>
      <c r="W17" s="54">
        <f t="shared" si="2"/>
        <v>105</v>
      </c>
      <c r="X17" s="54">
        <f t="shared" si="3"/>
        <v>70</v>
      </c>
      <c r="Y17" s="54">
        <f t="shared" si="4"/>
        <v>105</v>
      </c>
      <c r="Z17" s="54">
        <f t="shared" si="12"/>
        <v>35</v>
      </c>
      <c r="AA17" s="54">
        <f t="shared" si="13"/>
        <v>0</v>
      </c>
      <c r="AB17" s="54">
        <f t="shared" si="14"/>
        <v>0</v>
      </c>
      <c r="AC17" s="54">
        <f t="shared" si="7"/>
        <v>0</v>
      </c>
      <c r="AD17" s="54">
        <f t="shared" si="8"/>
        <v>0</v>
      </c>
      <c r="AE17" s="54">
        <f t="shared" si="9"/>
        <v>0</v>
      </c>
      <c r="AF17" s="54">
        <f t="shared" ref="AF17:AF54" si="17">P17*$R17</f>
        <v>315</v>
      </c>
    </row>
    <row r="18" spans="1:32" s="39" customFormat="1" x14ac:dyDescent="0.3">
      <c r="A18" s="49" t="s">
        <v>36</v>
      </c>
      <c r="B18" s="50" t="s">
        <v>152</v>
      </c>
      <c r="C18" s="50" t="s">
        <v>370</v>
      </c>
      <c r="D18" s="50" t="s">
        <v>121</v>
      </c>
      <c r="E18" s="51">
        <v>30</v>
      </c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>
        <f t="shared" si="0"/>
        <v>0</v>
      </c>
      <c r="Q18" s="51">
        <f t="shared" si="1"/>
        <v>30</v>
      </c>
      <c r="R18" s="52">
        <v>35</v>
      </c>
      <c r="S18" s="53">
        <f t="shared" si="10"/>
        <v>1050</v>
      </c>
      <c r="V18" s="39">
        <f t="shared" si="11"/>
        <v>30</v>
      </c>
      <c r="W18" s="54">
        <f t="shared" si="2"/>
        <v>0</v>
      </c>
      <c r="X18" s="54">
        <f t="shared" si="3"/>
        <v>0</v>
      </c>
      <c r="Y18" s="54">
        <f t="shared" si="4"/>
        <v>0</v>
      </c>
      <c r="Z18" s="54">
        <f t="shared" si="12"/>
        <v>0</v>
      </c>
      <c r="AA18" s="54">
        <f t="shared" si="13"/>
        <v>0</v>
      </c>
      <c r="AB18" s="54">
        <f t="shared" si="14"/>
        <v>0</v>
      </c>
      <c r="AC18" s="54">
        <f t="shared" si="7"/>
        <v>0</v>
      </c>
      <c r="AD18" s="54">
        <f t="shared" si="8"/>
        <v>0</v>
      </c>
      <c r="AE18" s="54">
        <f t="shared" si="9"/>
        <v>0</v>
      </c>
      <c r="AF18" s="54">
        <f t="shared" si="17"/>
        <v>0</v>
      </c>
    </row>
    <row r="19" spans="1:32" s="39" customFormat="1" x14ac:dyDescent="0.3">
      <c r="A19" s="49" t="s">
        <v>36</v>
      </c>
      <c r="B19" s="50" t="s">
        <v>153</v>
      </c>
      <c r="C19" s="50" t="s">
        <v>370</v>
      </c>
      <c r="D19" s="50" t="s">
        <v>122</v>
      </c>
      <c r="E19" s="51">
        <v>15</v>
      </c>
      <c r="F19" s="51"/>
      <c r="G19" s="51"/>
      <c r="H19" s="51">
        <v>1</v>
      </c>
      <c r="I19" s="51"/>
      <c r="J19" s="51"/>
      <c r="K19" s="51"/>
      <c r="L19" s="51"/>
      <c r="M19" s="51"/>
      <c r="N19" s="51"/>
      <c r="O19" s="51"/>
      <c r="P19" s="51">
        <f t="shared" si="0"/>
        <v>1</v>
      </c>
      <c r="Q19" s="51">
        <f t="shared" si="1"/>
        <v>14</v>
      </c>
      <c r="R19" s="52">
        <v>31</v>
      </c>
      <c r="S19" s="53">
        <f t="shared" si="10"/>
        <v>434</v>
      </c>
      <c r="V19" s="39">
        <f t="shared" si="11"/>
        <v>14</v>
      </c>
      <c r="W19" s="54">
        <f t="shared" si="2"/>
        <v>0</v>
      </c>
      <c r="X19" s="54">
        <f t="shared" si="3"/>
        <v>31</v>
      </c>
      <c r="Y19" s="54">
        <f t="shared" si="4"/>
        <v>0</v>
      </c>
      <c r="Z19" s="54">
        <f t="shared" si="12"/>
        <v>0</v>
      </c>
      <c r="AA19" s="54">
        <f t="shared" si="13"/>
        <v>0</v>
      </c>
      <c r="AB19" s="54">
        <f t="shared" si="14"/>
        <v>0</v>
      </c>
      <c r="AC19" s="54">
        <f t="shared" si="7"/>
        <v>0</v>
      </c>
      <c r="AD19" s="54">
        <f t="shared" si="8"/>
        <v>0</v>
      </c>
      <c r="AE19" s="54">
        <f t="shared" si="9"/>
        <v>0</v>
      </c>
      <c r="AF19" s="54">
        <f t="shared" si="17"/>
        <v>31</v>
      </c>
    </row>
    <row r="20" spans="1:32" s="39" customFormat="1" x14ac:dyDescent="0.3">
      <c r="A20" s="49" t="s">
        <v>36</v>
      </c>
      <c r="B20" s="50" t="s">
        <v>154</v>
      </c>
      <c r="C20" s="50" t="s">
        <v>370</v>
      </c>
      <c r="D20" s="50" t="s">
        <v>123</v>
      </c>
      <c r="E20" s="51">
        <v>19</v>
      </c>
      <c r="F20" s="51"/>
      <c r="G20" s="51"/>
      <c r="H20" s="51"/>
      <c r="I20" s="51"/>
      <c r="J20" s="51"/>
      <c r="K20" s="51"/>
      <c r="L20" s="51"/>
      <c r="M20" s="51"/>
      <c r="N20" s="51">
        <v>1</v>
      </c>
      <c r="O20" s="51"/>
      <c r="P20" s="51">
        <f t="shared" si="0"/>
        <v>1</v>
      </c>
      <c r="Q20" s="51">
        <f t="shared" si="1"/>
        <v>18</v>
      </c>
      <c r="R20" s="52">
        <v>31</v>
      </c>
      <c r="S20" s="53">
        <f t="shared" si="10"/>
        <v>558</v>
      </c>
      <c r="V20" s="39">
        <f t="shared" si="11"/>
        <v>18</v>
      </c>
      <c r="W20" s="54">
        <f t="shared" si="2"/>
        <v>0</v>
      </c>
      <c r="X20" s="54">
        <f t="shared" si="3"/>
        <v>0</v>
      </c>
      <c r="Y20" s="54">
        <f t="shared" si="4"/>
        <v>0</v>
      </c>
      <c r="Z20" s="54">
        <f t="shared" si="12"/>
        <v>0</v>
      </c>
      <c r="AA20" s="54">
        <f t="shared" si="13"/>
        <v>0</v>
      </c>
      <c r="AB20" s="54">
        <f t="shared" si="14"/>
        <v>0</v>
      </c>
      <c r="AC20" s="54">
        <f t="shared" si="7"/>
        <v>0</v>
      </c>
      <c r="AD20" s="54">
        <f t="shared" si="8"/>
        <v>31</v>
      </c>
      <c r="AE20" s="54">
        <f t="shared" si="9"/>
        <v>0</v>
      </c>
      <c r="AF20" s="54">
        <f t="shared" si="17"/>
        <v>31</v>
      </c>
    </row>
    <row r="21" spans="1:32" s="39" customFormat="1" x14ac:dyDescent="0.3">
      <c r="A21" s="49" t="s">
        <v>36</v>
      </c>
      <c r="B21" s="50" t="s">
        <v>155</v>
      </c>
      <c r="C21" s="50" t="s">
        <v>370</v>
      </c>
      <c r="D21" s="50" t="s">
        <v>124</v>
      </c>
      <c r="E21" s="51">
        <v>19</v>
      </c>
      <c r="F21" s="51"/>
      <c r="G21" s="51"/>
      <c r="H21" s="51"/>
      <c r="I21" s="51">
        <v>1</v>
      </c>
      <c r="J21" s="51"/>
      <c r="K21" s="51"/>
      <c r="L21" s="51">
        <v>4</v>
      </c>
      <c r="M21" s="51"/>
      <c r="N21" s="51"/>
      <c r="O21" s="51"/>
      <c r="P21" s="51">
        <f t="shared" si="0"/>
        <v>5</v>
      </c>
      <c r="Q21" s="51">
        <f t="shared" si="1"/>
        <v>14</v>
      </c>
      <c r="R21" s="52">
        <v>31</v>
      </c>
      <c r="S21" s="53">
        <f t="shared" si="10"/>
        <v>434</v>
      </c>
      <c r="V21" s="39">
        <f t="shared" si="11"/>
        <v>14</v>
      </c>
      <c r="W21" s="54">
        <f t="shared" si="2"/>
        <v>0</v>
      </c>
      <c r="X21" s="54">
        <f t="shared" si="3"/>
        <v>0</v>
      </c>
      <c r="Y21" s="54">
        <f t="shared" si="4"/>
        <v>31</v>
      </c>
      <c r="Z21" s="54">
        <f t="shared" si="12"/>
        <v>0</v>
      </c>
      <c r="AA21" s="54">
        <f t="shared" si="13"/>
        <v>0</v>
      </c>
      <c r="AB21" s="54">
        <f t="shared" si="14"/>
        <v>124</v>
      </c>
      <c r="AC21" s="54">
        <f t="shared" si="7"/>
        <v>0</v>
      </c>
      <c r="AD21" s="54">
        <f t="shared" si="8"/>
        <v>0</v>
      </c>
      <c r="AE21" s="54">
        <f t="shared" si="9"/>
        <v>0</v>
      </c>
      <c r="AF21" s="54">
        <f t="shared" si="17"/>
        <v>155</v>
      </c>
    </row>
    <row r="22" spans="1:32" s="39" customFormat="1" x14ac:dyDescent="0.3">
      <c r="A22" s="49" t="s">
        <v>36</v>
      </c>
      <c r="B22" s="50" t="s">
        <v>156</v>
      </c>
      <c r="C22" s="50" t="s">
        <v>370</v>
      </c>
      <c r="D22" s="50" t="s">
        <v>125</v>
      </c>
      <c r="E22" s="51">
        <v>10</v>
      </c>
      <c r="F22" s="51"/>
      <c r="G22" s="51">
        <v>1</v>
      </c>
      <c r="H22" s="51">
        <v>2</v>
      </c>
      <c r="I22" s="51">
        <v>5</v>
      </c>
      <c r="J22" s="51"/>
      <c r="K22" s="51"/>
      <c r="L22" s="51"/>
      <c r="M22" s="51"/>
      <c r="N22" s="51"/>
      <c r="O22" s="51"/>
      <c r="P22" s="51">
        <f t="shared" si="0"/>
        <v>8</v>
      </c>
      <c r="Q22" s="51">
        <f t="shared" si="1"/>
        <v>2</v>
      </c>
      <c r="R22" s="52">
        <v>23</v>
      </c>
      <c r="S22" s="53">
        <f t="shared" si="10"/>
        <v>46</v>
      </c>
      <c r="U22" s="39">
        <v>60</v>
      </c>
      <c r="V22" s="39">
        <f t="shared" si="11"/>
        <v>62</v>
      </c>
      <c r="W22" s="54">
        <f t="shared" si="2"/>
        <v>23</v>
      </c>
      <c r="X22" s="54">
        <f t="shared" si="3"/>
        <v>46</v>
      </c>
      <c r="Y22" s="54">
        <f t="shared" si="4"/>
        <v>115</v>
      </c>
      <c r="Z22" s="54">
        <f t="shared" si="12"/>
        <v>0</v>
      </c>
      <c r="AA22" s="54">
        <f t="shared" si="13"/>
        <v>0</v>
      </c>
      <c r="AB22" s="54">
        <f t="shared" si="14"/>
        <v>0</v>
      </c>
      <c r="AC22" s="54">
        <f t="shared" si="7"/>
        <v>0</v>
      </c>
      <c r="AD22" s="54">
        <f t="shared" si="8"/>
        <v>0</v>
      </c>
      <c r="AE22" s="54">
        <f t="shared" si="9"/>
        <v>0</v>
      </c>
      <c r="AF22" s="54">
        <f t="shared" si="17"/>
        <v>184</v>
      </c>
    </row>
    <row r="23" spans="1:32" s="39" customFormat="1" x14ac:dyDescent="0.3">
      <c r="A23" s="49" t="s">
        <v>36</v>
      </c>
      <c r="B23" s="50" t="s">
        <v>157</v>
      </c>
      <c r="C23" s="50" t="s">
        <v>370</v>
      </c>
      <c r="D23" s="50" t="s">
        <v>126</v>
      </c>
      <c r="E23" s="51">
        <v>9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>
        <f t="shared" si="0"/>
        <v>0</v>
      </c>
      <c r="Q23" s="51">
        <f t="shared" si="1"/>
        <v>9</v>
      </c>
      <c r="R23" s="52">
        <v>23</v>
      </c>
      <c r="S23" s="53">
        <f t="shared" si="10"/>
        <v>207</v>
      </c>
      <c r="U23" s="39">
        <v>60</v>
      </c>
      <c r="V23" s="39">
        <f t="shared" si="11"/>
        <v>69</v>
      </c>
      <c r="W23" s="54">
        <f t="shared" si="2"/>
        <v>0</v>
      </c>
      <c r="X23" s="54">
        <f t="shared" si="3"/>
        <v>0</v>
      </c>
      <c r="Y23" s="54">
        <f t="shared" si="4"/>
        <v>0</v>
      </c>
      <c r="Z23" s="54">
        <f t="shared" si="12"/>
        <v>0</v>
      </c>
      <c r="AA23" s="54">
        <f t="shared" si="13"/>
        <v>0</v>
      </c>
      <c r="AB23" s="54">
        <f t="shared" si="14"/>
        <v>0</v>
      </c>
      <c r="AC23" s="54">
        <f t="shared" si="7"/>
        <v>0</v>
      </c>
      <c r="AD23" s="54">
        <f t="shared" si="8"/>
        <v>0</v>
      </c>
      <c r="AE23" s="54">
        <f t="shared" si="9"/>
        <v>0</v>
      </c>
      <c r="AF23" s="54">
        <f t="shared" si="17"/>
        <v>0</v>
      </c>
    </row>
    <row r="24" spans="1:32" s="39" customFormat="1" x14ac:dyDescent="0.3">
      <c r="A24" s="49" t="s">
        <v>36</v>
      </c>
      <c r="B24" s="50" t="s">
        <v>158</v>
      </c>
      <c r="C24" s="50" t="s">
        <v>370</v>
      </c>
      <c r="D24" s="50" t="s">
        <v>127</v>
      </c>
      <c r="E24" s="51">
        <v>5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>
        <f t="shared" si="0"/>
        <v>0</v>
      </c>
      <c r="Q24" s="51">
        <f t="shared" si="1"/>
        <v>5</v>
      </c>
      <c r="R24" s="52">
        <v>23</v>
      </c>
      <c r="S24" s="53">
        <f t="shared" si="10"/>
        <v>115</v>
      </c>
      <c r="U24" s="39">
        <v>78</v>
      </c>
      <c r="V24" s="39">
        <f t="shared" si="11"/>
        <v>83</v>
      </c>
      <c r="W24" s="54">
        <f t="shared" si="2"/>
        <v>0</v>
      </c>
      <c r="X24" s="54">
        <f t="shared" si="3"/>
        <v>0</v>
      </c>
      <c r="Y24" s="54">
        <f t="shared" si="4"/>
        <v>0</v>
      </c>
      <c r="Z24" s="54">
        <f t="shared" si="12"/>
        <v>0</v>
      </c>
      <c r="AA24" s="54">
        <f t="shared" si="13"/>
        <v>0</v>
      </c>
      <c r="AB24" s="54">
        <f t="shared" si="14"/>
        <v>0</v>
      </c>
      <c r="AC24" s="54">
        <f t="shared" si="7"/>
        <v>0</v>
      </c>
      <c r="AD24" s="54">
        <f t="shared" si="8"/>
        <v>0</v>
      </c>
      <c r="AE24" s="54">
        <f t="shared" si="9"/>
        <v>0</v>
      </c>
      <c r="AF24" s="54">
        <f t="shared" si="17"/>
        <v>0</v>
      </c>
    </row>
    <row r="25" spans="1:32" s="39" customFormat="1" x14ac:dyDescent="0.3">
      <c r="A25" s="49" t="s">
        <v>36</v>
      </c>
      <c r="B25" s="50" t="s">
        <v>159</v>
      </c>
      <c r="C25" s="50" t="s">
        <v>370</v>
      </c>
      <c r="D25" s="50" t="s">
        <v>128</v>
      </c>
      <c r="E25" s="51">
        <v>5</v>
      </c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>
        <f t="shared" ref="P25" si="18">SUM(G25:O25)</f>
        <v>0</v>
      </c>
      <c r="Q25" s="51">
        <f t="shared" ref="Q25" si="19">E25+F25-P25</f>
        <v>5</v>
      </c>
      <c r="R25" s="52">
        <v>23</v>
      </c>
      <c r="S25" s="53">
        <f t="shared" ref="S25" si="20">Q25*R25</f>
        <v>115</v>
      </c>
      <c r="U25" s="39">
        <v>10</v>
      </c>
      <c r="V25" s="39">
        <f t="shared" ref="V25" si="21">Q25+U25</f>
        <v>15</v>
      </c>
      <c r="W25" s="54">
        <f t="shared" ref="W25" si="22">G25*$R25</f>
        <v>0</v>
      </c>
      <c r="X25" s="54">
        <f t="shared" ref="X25" si="23">H25*$R25</f>
        <v>0</v>
      </c>
      <c r="Y25" s="54">
        <f t="shared" ref="Y25" si="24">I25*$R25</f>
        <v>0</v>
      </c>
      <c r="Z25" s="54">
        <f t="shared" ref="Z25" si="25">J25*$R25</f>
        <v>0</v>
      </c>
      <c r="AA25" s="54">
        <f t="shared" ref="AA25" si="26">K25*$R25</f>
        <v>0</v>
      </c>
      <c r="AB25" s="54">
        <f t="shared" ref="AB25" si="27">L25*$R25</f>
        <v>0</v>
      </c>
      <c r="AC25" s="54">
        <f t="shared" ref="AC25" si="28">M25*$R25</f>
        <v>0</v>
      </c>
      <c r="AD25" s="54">
        <f t="shared" ref="AD25" si="29">N25*$R25</f>
        <v>0</v>
      </c>
      <c r="AE25" s="54">
        <f t="shared" ref="AE25" si="30">O25*$R25</f>
        <v>0</v>
      </c>
      <c r="AF25" s="54">
        <f t="shared" ref="AF25" si="31">P25*$R25</f>
        <v>0</v>
      </c>
    </row>
    <row r="26" spans="1:32" s="39" customFormat="1" x14ac:dyDescent="0.3">
      <c r="A26" s="49" t="s">
        <v>36</v>
      </c>
      <c r="B26" s="50" t="s">
        <v>160</v>
      </c>
      <c r="C26" s="50" t="s">
        <v>370</v>
      </c>
      <c r="D26" s="50" t="s">
        <v>130</v>
      </c>
      <c r="E26" s="51">
        <v>7</v>
      </c>
      <c r="F26" s="51">
        <v>12</v>
      </c>
      <c r="G26" s="51">
        <v>1</v>
      </c>
      <c r="H26" s="51"/>
      <c r="I26" s="51"/>
      <c r="J26" s="51"/>
      <c r="K26" s="51"/>
      <c r="L26" s="51"/>
      <c r="M26" s="51"/>
      <c r="N26" s="51"/>
      <c r="O26" s="51"/>
      <c r="P26" s="51">
        <f t="shared" ref="P26:P39" si="32">SUM(G26:O26)</f>
        <v>1</v>
      </c>
      <c r="Q26" s="51">
        <f t="shared" ref="Q26:Q39" si="33">E26+F26-P26</f>
        <v>18</v>
      </c>
      <c r="R26" s="52">
        <v>60</v>
      </c>
      <c r="S26" s="53">
        <f t="shared" ref="S26:S39" si="34">Q26*R26</f>
        <v>1080</v>
      </c>
      <c r="U26" s="51">
        <v>12</v>
      </c>
      <c r="V26" s="39">
        <f t="shared" ref="V26:V39" si="35">Q26+U26</f>
        <v>30</v>
      </c>
      <c r="W26" s="54">
        <f t="shared" ref="W26:W49" si="36">G26*$R26</f>
        <v>60</v>
      </c>
      <c r="X26" s="54">
        <f t="shared" ref="X26:X49" si="37">H26*$R26</f>
        <v>0</v>
      </c>
      <c r="Y26" s="54">
        <f t="shared" ref="Y26:Y49" si="38">I26*$R26</f>
        <v>0</v>
      </c>
      <c r="Z26" s="54">
        <f t="shared" ref="Z26:Z49" si="39">J26*$R26</f>
        <v>0</v>
      </c>
      <c r="AA26" s="54">
        <f t="shared" ref="AA26:AA49" si="40">K26*$R26</f>
        <v>0</v>
      </c>
      <c r="AB26" s="54">
        <f t="shared" ref="AB26:AB49" si="41">L26*$R26</f>
        <v>0</v>
      </c>
      <c r="AC26" s="54">
        <f t="shared" ref="AC26:AC49" si="42">M26*$R26</f>
        <v>0</v>
      </c>
      <c r="AD26" s="54">
        <f t="shared" ref="AD26:AD49" si="43">N26*$R26</f>
        <v>0</v>
      </c>
      <c r="AE26" s="54">
        <f t="shared" ref="AE26:AE49" si="44">O26*$R26</f>
        <v>0</v>
      </c>
      <c r="AF26" s="54">
        <f t="shared" ref="AF26:AF49" si="45">P26*$R26</f>
        <v>60</v>
      </c>
    </row>
    <row r="27" spans="1:32" s="39" customFormat="1" x14ac:dyDescent="0.3">
      <c r="A27" s="49" t="s">
        <v>36</v>
      </c>
      <c r="B27" s="50" t="s">
        <v>72</v>
      </c>
      <c r="C27" s="50" t="s">
        <v>370</v>
      </c>
      <c r="D27" s="50" t="s">
        <v>129</v>
      </c>
      <c r="E27" s="51">
        <v>11</v>
      </c>
      <c r="F27" s="51">
        <v>12</v>
      </c>
      <c r="G27" s="51"/>
      <c r="H27" s="51"/>
      <c r="I27" s="51">
        <v>20</v>
      </c>
      <c r="J27" s="51"/>
      <c r="K27" s="51"/>
      <c r="L27" s="51"/>
      <c r="M27" s="51"/>
      <c r="N27" s="51"/>
      <c r="O27" s="51"/>
      <c r="P27" s="51">
        <f t="shared" si="32"/>
        <v>20</v>
      </c>
      <c r="Q27" s="51">
        <f t="shared" si="33"/>
        <v>3</v>
      </c>
      <c r="R27" s="52">
        <v>60</v>
      </c>
      <c r="S27" s="53">
        <f t="shared" si="34"/>
        <v>180</v>
      </c>
      <c r="U27" s="51">
        <v>12</v>
      </c>
      <c r="V27" s="39">
        <f t="shared" si="35"/>
        <v>15</v>
      </c>
      <c r="W27" s="54">
        <f t="shared" si="36"/>
        <v>0</v>
      </c>
      <c r="X27" s="54">
        <f t="shared" si="37"/>
        <v>0</v>
      </c>
      <c r="Y27" s="54">
        <f t="shared" si="38"/>
        <v>1200</v>
      </c>
      <c r="Z27" s="54">
        <f t="shared" si="39"/>
        <v>0</v>
      </c>
      <c r="AA27" s="54">
        <f t="shared" si="40"/>
        <v>0</v>
      </c>
      <c r="AB27" s="54">
        <f t="shared" si="41"/>
        <v>0</v>
      </c>
      <c r="AC27" s="54">
        <f t="shared" si="42"/>
        <v>0</v>
      </c>
      <c r="AD27" s="54">
        <f t="shared" si="43"/>
        <v>0</v>
      </c>
      <c r="AE27" s="54">
        <f t="shared" si="44"/>
        <v>0</v>
      </c>
      <c r="AF27" s="54">
        <f t="shared" si="45"/>
        <v>1200</v>
      </c>
    </row>
    <row r="28" spans="1:32" s="39" customFormat="1" x14ac:dyDescent="0.3">
      <c r="A28" s="49" t="s">
        <v>36</v>
      </c>
      <c r="B28" s="50" t="s">
        <v>161</v>
      </c>
      <c r="C28" s="50" t="s">
        <v>370</v>
      </c>
      <c r="D28" s="50" t="s">
        <v>131</v>
      </c>
      <c r="E28" s="51">
        <v>8</v>
      </c>
      <c r="F28" s="51">
        <v>12</v>
      </c>
      <c r="G28" s="51"/>
      <c r="H28" s="51">
        <v>1</v>
      </c>
      <c r="I28" s="51"/>
      <c r="J28" s="51"/>
      <c r="K28" s="51">
        <v>1</v>
      </c>
      <c r="L28" s="51"/>
      <c r="M28" s="51"/>
      <c r="N28" s="51"/>
      <c r="O28" s="51"/>
      <c r="P28" s="51">
        <f t="shared" si="32"/>
        <v>2</v>
      </c>
      <c r="Q28" s="51">
        <f t="shared" si="33"/>
        <v>18</v>
      </c>
      <c r="R28" s="52">
        <v>20</v>
      </c>
      <c r="S28" s="53">
        <f t="shared" si="34"/>
        <v>360</v>
      </c>
      <c r="U28" s="51"/>
      <c r="V28" s="39">
        <f t="shared" si="35"/>
        <v>18</v>
      </c>
      <c r="W28" s="54">
        <f t="shared" si="36"/>
        <v>0</v>
      </c>
      <c r="X28" s="54">
        <f t="shared" si="37"/>
        <v>20</v>
      </c>
      <c r="Y28" s="54">
        <f t="shared" si="38"/>
        <v>0</v>
      </c>
      <c r="Z28" s="54">
        <f t="shared" si="39"/>
        <v>0</v>
      </c>
      <c r="AA28" s="54">
        <f t="shared" si="40"/>
        <v>20</v>
      </c>
      <c r="AB28" s="54">
        <f t="shared" si="41"/>
        <v>0</v>
      </c>
      <c r="AC28" s="54">
        <f t="shared" si="42"/>
        <v>0</v>
      </c>
      <c r="AD28" s="54">
        <f t="shared" si="43"/>
        <v>0</v>
      </c>
      <c r="AE28" s="54">
        <f t="shared" si="44"/>
        <v>0</v>
      </c>
      <c r="AF28" s="54">
        <f t="shared" si="45"/>
        <v>40</v>
      </c>
    </row>
    <row r="29" spans="1:32" s="62" customFormat="1" x14ac:dyDescent="0.3">
      <c r="A29" s="57" t="s">
        <v>36</v>
      </c>
      <c r="B29" s="58" t="s">
        <v>162</v>
      </c>
      <c r="C29" s="58" t="s">
        <v>21</v>
      </c>
      <c r="D29" s="58" t="s">
        <v>132</v>
      </c>
      <c r="E29" s="59">
        <v>90</v>
      </c>
      <c r="F29" s="59"/>
      <c r="G29" s="59">
        <v>7</v>
      </c>
      <c r="H29" s="59">
        <v>6</v>
      </c>
      <c r="I29" s="59">
        <v>1</v>
      </c>
      <c r="J29" s="59">
        <v>3</v>
      </c>
      <c r="K29" s="59">
        <v>2</v>
      </c>
      <c r="L29" s="59">
        <v>4</v>
      </c>
      <c r="M29" s="59"/>
      <c r="N29" s="59">
        <v>2</v>
      </c>
      <c r="O29" s="59">
        <v>4</v>
      </c>
      <c r="P29" s="59">
        <f t="shared" si="32"/>
        <v>29</v>
      </c>
      <c r="Q29" s="59">
        <f t="shared" si="33"/>
        <v>61</v>
      </c>
      <c r="R29" s="60">
        <v>215</v>
      </c>
      <c r="S29" s="61">
        <f t="shared" si="34"/>
        <v>13115</v>
      </c>
      <c r="V29" s="62">
        <f t="shared" si="35"/>
        <v>61</v>
      </c>
      <c r="W29" s="63">
        <f t="shared" si="36"/>
        <v>1505</v>
      </c>
      <c r="X29" s="63">
        <f t="shared" si="37"/>
        <v>1290</v>
      </c>
      <c r="Y29" s="63">
        <f t="shared" si="38"/>
        <v>215</v>
      </c>
      <c r="Z29" s="63">
        <f t="shared" si="39"/>
        <v>645</v>
      </c>
      <c r="AA29" s="63">
        <f t="shared" si="40"/>
        <v>430</v>
      </c>
      <c r="AB29" s="63">
        <f t="shared" si="41"/>
        <v>860</v>
      </c>
      <c r="AC29" s="63">
        <f t="shared" si="42"/>
        <v>0</v>
      </c>
      <c r="AD29" s="63">
        <f t="shared" si="43"/>
        <v>430</v>
      </c>
      <c r="AE29" s="63">
        <f t="shared" si="44"/>
        <v>860</v>
      </c>
      <c r="AF29" s="63">
        <f t="shared" si="45"/>
        <v>6235</v>
      </c>
    </row>
    <row r="30" spans="1:32" s="62" customFormat="1" x14ac:dyDescent="0.3">
      <c r="A30" s="57" t="s">
        <v>36</v>
      </c>
      <c r="B30" s="58" t="s">
        <v>164</v>
      </c>
      <c r="C30" s="58" t="s">
        <v>21</v>
      </c>
      <c r="D30" s="58" t="s">
        <v>133</v>
      </c>
      <c r="E30" s="59">
        <v>118</v>
      </c>
      <c r="F30" s="59"/>
      <c r="G30" s="59">
        <v>1</v>
      </c>
      <c r="H30" s="59">
        <v>1</v>
      </c>
      <c r="I30" s="59">
        <v>1</v>
      </c>
      <c r="J30" s="59">
        <v>1</v>
      </c>
      <c r="K30" s="59">
        <v>1</v>
      </c>
      <c r="L30" s="59"/>
      <c r="M30" s="59"/>
      <c r="N30" s="59"/>
      <c r="O30" s="59">
        <v>1</v>
      </c>
      <c r="P30" s="59">
        <f t="shared" si="32"/>
        <v>6</v>
      </c>
      <c r="Q30" s="59">
        <f t="shared" si="33"/>
        <v>112</v>
      </c>
      <c r="R30" s="60">
        <v>180</v>
      </c>
      <c r="S30" s="61">
        <f t="shared" si="34"/>
        <v>20160</v>
      </c>
      <c r="V30" s="62">
        <f t="shared" si="35"/>
        <v>112</v>
      </c>
      <c r="W30" s="63">
        <f t="shared" si="36"/>
        <v>180</v>
      </c>
      <c r="X30" s="63">
        <f t="shared" si="37"/>
        <v>180</v>
      </c>
      <c r="Y30" s="63">
        <f t="shared" si="38"/>
        <v>180</v>
      </c>
      <c r="Z30" s="63">
        <f t="shared" si="39"/>
        <v>180</v>
      </c>
      <c r="AA30" s="63">
        <f t="shared" si="40"/>
        <v>180</v>
      </c>
      <c r="AB30" s="63">
        <f t="shared" si="41"/>
        <v>0</v>
      </c>
      <c r="AC30" s="63">
        <f t="shared" si="42"/>
        <v>0</v>
      </c>
      <c r="AD30" s="63">
        <f t="shared" si="43"/>
        <v>0</v>
      </c>
      <c r="AE30" s="63">
        <f t="shared" si="44"/>
        <v>180</v>
      </c>
      <c r="AF30" s="63">
        <f t="shared" si="45"/>
        <v>1080</v>
      </c>
    </row>
    <row r="31" spans="1:32" s="62" customFormat="1" x14ac:dyDescent="0.3">
      <c r="A31" s="57" t="s">
        <v>36</v>
      </c>
      <c r="B31" s="58" t="s">
        <v>165</v>
      </c>
      <c r="C31" s="58" t="s">
        <v>21</v>
      </c>
      <c r="D31" s="58" t="s">
        <v>134</v>
      </c>
      <c r="E31" s="59">
        <v>70</v>
      </c>
      <c r="F31" s="59"/>
      <c r="G31" s="59"/>
      <c r="H31" s="59">
        <v>3</v>
      </c>
      <c r="I31" s="59"/>
      <c r="J31" s="59">
        <v>1</v>
      </c>
      <c r="K31" s="59">
        <v>2</v>
      </c>
      <c r="L31" s="59"/>
      <c r="M31" s="59">
        <v>2</v>
      </c>
      <c r="N31" s="59">
        <v>2</v>
      </c>
      <c r="O31" s="59"/>
      <c r="P31" s="59">
        <f t="shared" si="32"/>
        <v>10</v>
      </c>
      <c r="Q31" s="59">
        <f t="shared" si="33"/>
        <v>60</v>
      </c>
      <c r="R31" s="60">
        <v>195</v>
      </c>
      <c r="S31" s="61">
        <f t="shared" si="34"/>
        <v>11700</v>
      </c>
      <c r="U31" s="62">
        <v>100</v>
      </c>
      <c r="V31" s="62">
        <f t="shared" si="35"/>
        <v>160</v>
      </c>
      <c r="W31" s="63">
        <f t="shared" si="36"/>
        <v>0</v>
      </c>
      <c r="X31" s="63">
        <f t="shared" si="37"/>
        <v>585</v>
      </c>
      <c r="Y31" s="63">
        <f t="shared" si="38"/>
        <v>0</v>
      </c>
      <c r="Z31" s="63">
        <f t="shared" si="39"/>
        <v>195</v>
      </c>
      <c r="AA31" s="63">
        <f t="shared" si="40"/>
        <v>390</v>
      </c>
      <c r="AB31" s="63">
        <f t="shared" si="41"/>
        <v>0</v>
      </c>
      <c r="AC31" s="63">
        <f t="shared" si="42"/>
        <v>390</v>
      </c>
      <c r="AD31" s="63">
        <f t="shared" si="43"/>
        <v>390</v>
      </c>
      <c r="AE31" s="63">
        <f t="shared" si="44"/>
        <v>0</v>
      </c>
      <c r="AF31" s="63">
        <f t="shared" si="45"/>
        <v>1950</v>
      </c>
    </row>
    <row r="32" spans="1:32" s="62" customFormat="1" x14ac:dyDescent="0.3">
      <c r="A32" s="57" t="s">
        <v>36</v>
      </c>
      <c r="B32" s="58" t="s">
        <v>166</v>
      </c>
      <c r="C32" s="58" t="s">
        <v>142</v>
      </c>
      <c r="D32" s="58" t="s">
        <v>135</v>
      </c>
      <c r="E32" s="59">
        <v>0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>
        <f t="shared" si="32"/>
        <v>0</v>
      </c>
      <c r="Q32" s="59">
        <f t="shared" si="33"/>
        <v>0</v>
      </c>
      <c r="R32" s="60">
        <v>35</v>
      </c>
      <c r="S32" s="61">
        <f t="shared" si="34"/>
        <v>0</v>
      </c>
      <c r="U32" s="59">
        <v>15</v>
      </c>
      <c r="V32" s="62">
        <f t="shared" si="35"/>
        <v>15</v>
      </c>
      <c r="W32" s="63">
        <f t="shared" si="36"/>
        <v>0</v>
      </c>
      <c r="X32" s="63">
        <f t="shared" si="37"/>
        <v>0</v>
      </c>
      <c r="Y32" s="63">
        <f t="shared" si="38"/>
        <v>0</v>
      </c>
      <c r="Z32" s="63">
        <f t="shared" si="39"/>
        <v>0</v>
      </c>
      <c r="AA32" s="63">
        <f t="shared" si="40"/>
        <v>0</v>
      </c>
      <c r="AB32" s="63">
        <f t="shared" si="41"/>
        <v>0</v>
      </c>
      <c r="AC32" s="63">
        <f t="shared" si="42"/>
        <v>0</v>
      </c>
      <c r="AD32" s="63">
        <f t="shared" si="43"/>
        <v>0</v>
      </c>
      <c r="AE32" s="63">
        <f t="shared" si="44"/>
        <v>0</v>
      </c>
      <c r="AF32" s="63">
        <f t="shared" si="45"/>
        <v>0</v>
      </c>
    </row>
    <row r="33" spans="1:32" s="62" customFormat="1" x14ac:dyDescent="0.3">
      <c r="A33" s="57" t="s">
        <v>36</v>
      </c>
      <c r="B33" s="58" t="s">
        <v>163</v>
      </c>
      <c r="C33" s="58" t="s">
        <v>142</v>
      </c>
      <c r="D33" s="58" t="s">
        <v>136</v>
      </c>
      <c r="E33" s="59">
        <v>5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>
        <f t="shared" si="32"/>
        <v>0</v>
      </c>
      <c r="Q33" s="59">
        <f t="shared" si="33"/>
        <v>5</v>
      </c>
      <c r="R33" s="60">
        <v>30</v>
      </c>
      <c r="S33" s="61">
        <f t="shared" si="34"/>
        <v>150</v>
      </c>
      <c r="U33" s="59">
        <v>15</v>
      </c>
      <c r="V33" s="62">
        <f t="shared" si="35"/>
        <v>20</v>
      </c>
      <c r="W33" s="63">
        <f t="shared" si="36"/>
        <v>0</v>
      </c>
      <c r="X33" s="63">
        <f t="shared" si="37"/>
        <v>0</v>
      </c>
      <c r="Y33" s="63">
        <f t="shared" si="38"/>
        <v>0</v>
      </c>
      <c r="Z33" s="63">
        <f t="shared" si="39"/>
        <v>0</v>
      </c>
      <c r="AA33" s="63">
        <f t="shared" si="40"/>
        <v>0</v>
      </c>
      <c r="AB33" s="63">
        <f t="shared" si="41"/>
        <v>0</v>
      </c>
      <c r="AC33" s="63">
        <f t="shared" si="42"/>
        <v>0</v>
      </c>
      <c r="AD33" s="63">
        <f t="shared" si="43"/>
        <v>0</v>
      </c>
      <c r="AE33" s="63">
        <f t="shared" si="44"/>
        <v>0</v>
      </c>
      <c r="AF33" s="63">
        <f t="shared" si="45"/>
        <v>0</v>
      </c>
    </row>
    <row r="34" spans="1:32" s="62" customFormat="1" x14ac:dyDescent="0.3">
      <c r="A34" s="57" t="s">
        <v>36</v>
      </c>
      <c r="B34" s="58" t="s">
        <v>167</v>
      </c>
      <c r="C34" s="58" t="s">
        <v>142</v>
      </c>
      <c r="D34" s="58" t="s">
        <v>137</v>
      </c>
      <c r="E34" s="59">
        <v>0</v>
      </c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>
        <f t="shared" si="32"/>
        <v>0</v>
      </c>
      <c r="Q34" s="59">
        <f t="shared" si="33"/>
        <v>0</v>
      </c>
      <c r="R34" s="60">
        <v>45</v>
      </c>
      <c r="S34" s="61">
        <f t="shared" si="34"/>
        <v>0</v>
      </c>
      <c r="U34" s="59"/>
      <c r="V34" s="62">
        <f t="shared" si="35"/>
        <v>0</v>
      </c>
      <c r="W34" s="63">
        <f t="shared" si="36"/>
        <v>0</v>
      </c>
      <c r="X34" s="63">
        <f t="shared" si="37"/>
        <v>0</v>
      </c>
      <c r="Y34" s="63">
        <f t="shared" si="38"/>
        <v>0</v>
      </c>
      <c r="Z34" s="63">
        <f t="shared" si="39"/>
        <v>0</v>
      </c>
      <c r="AA34" s="63">
        <f t="shared" si="40"/>
        <v>0</v>
      </c>
      <c r="AB34" s="63">
        <f t="shared" si="41"/>
        <v>0</v>
      </c>
      <c r="AC34" s="63">
        <f t="shared" si="42"/>
        <v>0</v>
      </c>
      <c r="AD34" s="63">
        <f t="shared" si="43"/>
        <v>0</v>
      </c>
      <c r="AE34" s="63">
        <f t="shared" si="44"/>
        <v>0</v>
      </c>
      <c r="AF34" s="63">
        <f t="shared" si="45"/>
        <v>0</v>
      </c>
    </row>
    <row r="35" spans="1:32" s="62" customFormat="1" x14ac:dyDescent="0.3">
      <c r="A35" s="57" t="s">
        <v>36</v>
      </c>
      <c r="B35" s="58" t="s">
        <v>168</v>
      </c>
      <c r="C35" s="58" t="s">
        <v>142</v>
      </c>
      <c r="D35" s="58" t="s">
        <v>138</v>
      </c>
      <c r="E35" s="59">
        <v>0</v>
      </c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>
        <f t="shared" si="32"/>
        <v>0</v>
      </c>
      <c r="Q35" s="59">
        <f t="shared" si="33"/>
        <v>0</v>
      </c>
      <c r="R35" s="60">
        <v>40</v>
      </c>
      <c r="S35" s="61">
        <f t="shared" si="34"/>
        <v>0</v>
      </c>
      <c r="U35" s="59"/>
      <c r="V35" s="62">
        <f t="shared" si="35"/>
        <v>0</v>
      </c>
      <c r="W35" s="63">
        <f t="shared" si="36"/>
        <v>0</v>
      </c>
      <c r="X35" s="63">
        <f t="shared" si="37"/>
        <v>0</v>
      </c>
      <c r="Y35" s="63">
        <f t="shared" si="38"/>
        <v>0</v>
      </c>
      <c r="Z35" s="63">
        <f t="shared" si="39"/>
        <v>0</v>
      </c>
      <c r="AA35" s="63">
        <f t="shared" si="40"/>
        <v>0</v>
      </c>
      <c r="AB35" s="63">
        <f t="shared" si="41"/>
        <v>0</v>
      </c>
      <c r="AC35" s="63">
        <f t="shared" si="42"/>
        <v>0</v>
      </c>
      <c r="AD35" s="63">
        <f t="shared" si="43"/>
        <v>0</v>
      </c>
      <c r="AE35" s="63">
        <f t="shared" si="44"/>
        <v>0</v>
      </c>
      <c r="AF35" s="63">
        <f t="shared" si="45"/>
        <v>0</v>
      </c>
    </row>
    <row r="36" spans="1:32" s="62" customFormat="1" x14ac:dyDescent="0.3">
      <c r="A36" s="57" t="s">
        <v>36</v>
      </c>
      <c r="B36" s="58" t="s">
        <v>169</v>
      </c>
      <c r="C36" s="58" t="s">
        <v>142</v>
      </c>
      <c r="D36" s="58" t="s">
        <v>139</v>
      </c>
      <c r="E36" s="59">
        <v>0</v>
      </c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>
        <f t="shared" si="32"/>
        <v>0</v>
      </c>
      <c r="Q36" s="59">
        <f t="shared" si="33"/>
        <v>0</v>
      </c>
      <c r="R36" s="60">
        <v>30</v>
      </c>
      <c r="S36" s="61">
        <f t="shared" si="34"/>
        <v>0</v>
      </c>
      <c r="V36" s="62">
        <f t="shared" si="35"/>
        <v>0</v>
      </c>
      <c r="W36" s="63">
        <f t="shared" si="36"/>
        <v>0</v>
      </c>
      <c r="X36" s="63">
        <f t="shared" si="37"/>
        <v>0</v>
      </c>
      <c r="Y36" s="63">
        <f t="shared" si="38"/>
        <v>0</v>
      </c>
      <c r="Z36" s="63">
        <f t="shared" si="39"/>
        <v>0</v>
      </c>
      <c r="AA36" s="63">
        <f t="shared" si="40"/>
        <v>0</v>
      </c>
      <c r="AB36" s="63">
        <f t="shared" si="41"/>
        <v>0</v>
      </c>
      <c r="AC36" s="63">
        <f t="shared" si="42"/>
        <v>0</v>
      </c>
      <c r="AD36" s="63">
        <f t="shared" si="43"/>
        <v>0</v>
      </c>
      <c r="AE36" s="63">
        <f t="shared" si="44"/>
        <v>0</v>
      </c>
      <c r="AF36" s="63">
        <f t="shared" si="45"/>
        <v>0</v>
      </c>
    </row>
    <row r="37" spans="1:32" s="62" customFormat="1" x14ac:dyDescent="0.3">
      <c r="A37" s="57" t="s">
        <v>36</v>
      </c>
      <c r="B37" s="58" t="s">
        <v>170</v>
      </c>
      <c r="C37" s="58" t="s">
        <v>142</v>
      </c>
      <c r="D37" s="58" t="s">
        <v>140</v>
      </c>
      <c r="E37" s="59">
        <v>26</v>
      </c>
      <c r="F37" s="59"/>
      <c r="G37" s="59"/>
      <c r="H37" s="59"/>
      <c r="I37" s="59">
        <v>26</v>
      </c>
      <c r="J37" s="59"/>
      <c r="K37" s="59"/>
      <c r="L37" s="59"/>
      <c r="M37" s="59"/>
      <c r="N37" s="59"/>
      <c r="O37" s="59"/>
      <c r="P37" s="59">
        <f t="shared" si="32"/>
        <v>26</v>
      </c>
      <c r="Q37" s="59">
        <f t="shared" si="33"/>
        <v>0</v>
      </c>
      <c r="R37" s="60">
        <v>25</v>
      </c>
      <c r="S37" s="61">
        <f t="shared" si="34"/>
        <v>0</v>
      </c>
      <c r="V37" s="62">
        <f t="shared" si="35"/>
        <v>0</v>
      </c>
      <c r="W37" s="63">
        <f t="shared" si="36"/>
        <v>0</v>
      </c>
      <c r="X37" s="63">
        <f t="shared" si="37"/>
        <v>0</v>
      </c>
      <c r="Y37" s="63">
        <f t="shared" si="38"/>
        <v>650</v>
      </c>
      <c r="Z37" s="63">
        <f t="shared" si="39"/>
        <v>0</v>
      </c>
      <c r="AA37" s="63">
        <f t="shared" si="40"/>
        <v>0</v>
      </c>
      <c r="AB37" s="63">
        <f t="shared" si="41"/>
        <v>0</v>
      </c>
      <c r="AC37" s="63">
        <f t="shared" si="42"/>
        <v>0</v>
      </c>
      <c r="AD37" s="63">
        <f t="shared" si="43"/>
        <v>0</v>
      </c>
      <c r="AE37" s="63">
        <f t="shared" si="44"/>
        <v>0</v>
      </c>
      <c r="AF37" s="63">
        <f t="shared" si="45"/>
        <v>650</v>
      </c>
    </row>
    <row r="38" spans="1:32" s="62" customFormat="1" x14ac:dyDescent="0.3">
      <c r="A38" s="57" t="s">
        <v>36</v>
      </c>
      <c r="B38" s="58" t="s">
        <v>171</v>
      </c>
      <c r="C38" s="58" t="s">
        <v>142</v>
      </c>
      <c r="D38" s="58" t="s">
        <v>141</v>
      </c>
      <c r="E38" s="59">
        <v>0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>
        <f t="shared" si="32"/>
        <v>0</v>
      </c>
      <c r="Q38" s="59">
        <f t="shared" si="33"/>
        <v>0</v>
      </c>
      <c r="R38" s="60">
        <v>40</v>
      </c>
      <c r="S38" s="61">
        <f t="shared" si="34"/>
        <v>0</v>
      </c>
      <c r="V38" s="62">
        <f t="shared" si="35"/>
        <v>0</v>
      </c>
      <c r="W38" s="63">
        <f t="shared" si="36"/>
        <v>0</v>
      </c>
      <c r="X38" s="63">
        <f t="shared" si="37"/>
        <v>0</v>
      </c>
      <c r="Y38" s="63">
        <f t="shared" si="38"/>
        <v>0</v>
      </c>
      <c r="Z38" s="63">
        <f t="shared" si="39"/>
        <v>0</v>
      </c>
      <c r="AA38" s="63">
        <f t="shared" si="40"/>
        <v>0</v>
      </c>
      <c r="AB38" s="63">
        <f t="shared" si="41"/>
        <v>0</v>
      </c>
      <c r="AC38" s="63">
        <f t="shared" si="42"/>
        <v>0</v>
      </c>
      <c r="AD38" s="63">
        <f t="shared" si="43"/>
        <v>0</v>
      </c>
      <c r="AE38" s="63">
        <f t="shared" si="44"/>
        <v>0</v>
      </c>
      <c r="AF38" s="63">
        <f t="shared" si="45"/>
        <v>0</v>
      </c>
    </row>
    <row r="39" spans="1:32" s="62" customFormat="1" x14ac:dyDescent="0.3">
      <c r="A39" s="57" t="s">
        <v>36</v>
      </c>
      <c r="B39" s="58" t="s">
        <v>172</v>
      </c>
      <c r="C39" s="58" t="s">
        <v>142</v>
      </c>
      <c r="D39" s="58" t="s">
        <v>141</v>
      </c>
      <c r="E39" s="59">
        <v>0</v>
      </c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>
        <f t="shared" si="32"/>
        <v>0</v>
      </c>
      <c r="Q39" s="59">
        <f t="shared" si="33"/>
        <v>0</v>
      </c>
      <c r="R39" s="60">
        <v>35</v>
      </c>
      <c r="S39" s="61">
        <f t="shared" si="34"/>
        <v>0</v>
      </c>
      <c r="V39" s="62">
        <f t="shared" si="35"/>
        <v>0</v>
      </c>
      <c r="W39" s="63">
        <f t="shared" si="36"/>
        <v>0</v>
      </c>
      <c r="X39" s="63">
        <f t="shared" si="37"/>
        <v>0</v>
      </c>
      <c r="Y39" s="63">
        <f t="shared" si="38"/>
        <v>0</v>
      </c>
      <c r="Z39" s="63">
        <f t="shared" si="39"/>
        <v>0</v>
      </c>
      <c r="AA39" s="63">
        <f t="shared" si="40"/>
        <v>0</v>
      </c>
      <c r="AB39" s="63">
        <f t="shared" si="41"/>
        <v>0</v>
      </c>
      <c r="AC39" s="63">
        <f t="shared" si="42"/>
        <v>0</v>
      </c>
      <c r="AD39" s="63">
        <f t="shared" si="43"/>
        <v>0</v>
      </c>
      <c r="AE39" s="63">
        <f t="shared" si="44"/>
        <v>0</v>
      </c>
      <c r="AF39" s="63">
        <f t="shared" si="45"/>
        <v>0</v>
      </c>
    </row>
    <row r="40" spans="1:32" s="62" customFormat="1" x14ac:dyDescent="0.3">
      <c r="A40" s="57" t="s">
        <v>36</v>
      </c>
      <c r="B40" s="58" t="s">
        <v>351</v>
      </c>
      <c r="C40" s="58" t="s">
        <v>142</v>
      </c>
      <c r="D40" s="58" t="s">
        <v>352</v>
      </c>
      <c r="E40" s="59">
        <v>0</v>
      </c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>
        <f t="shared" ref="P40" si="46">SUM(G40:O40)</f>
        <v>0</v>
      </c>
      <c r="Q40" s="59">
        <f t="shared" ref="Q40" si="47">E40+F40-P40</f>
        <v>0</v>
      </c>
      <c r="R40" s="60">
        <v>50</v>
      </c>
      <c r="S40" s="61">
        <f t="shared" ref="S40" si="48">Q40*R40</f>
        <v>0</v>
      </c>
      <c r="U40" s="62">
        <v>5</v>
      </c>
      <c r="V40" s="62">
        <f t="shared" ref="V40" si="49">Q40+U40</f>
        <v>5</v>
      </c>
      <c r="W40" s="63">
        <f t="shared" ref="W40" si="50">G40*$R40</f>
        <v>0</v>
      </c>
      <c r="X40" s="63">
        <f t="shared" ref="X40" si="51">H40*$R40</f>
        <v>0</v>
      </c>
      <c r="Y40" s="63">
        <f t="shared" ref="Y40" si="52">I40*$R40</f>
        <v>0</v>
      </c>
      <c r="Z40" s="63">
        <f t="shared" ref="Z40" si="53">J40*$R40</f>
        <v>0</v>
      </c>
      <c r="AA40" s="63">
        <f t="shared" ref="AA40" si="54">K40*$R40</f>
        <v>0</v>
      </c>
      <c r="AB40" s="63">
        <f t="shared" ref="AB40" si="55">L40*$R40</f>
        <v>0</v>
      </c>
      <c r="AC40" s="63">
        <f t="shared" ref="AC40" si="56">M40*$R40</f>
        <v>0</v>
      </c>
      <c r="AD40" s="63">
        <f t="shared" ref="AD40" si="57">N40*$R40</f>
        <v>0</v>
      </c>
      <c r="AE40" s="63">
        <f t="shared" ref="AE40" si="58">O40*$R40</f>
        <v>0</v>
      </c>
      <c r="AF40" s="63">
        <f t="shared" ref="AF40" si="59">P40*$R40</f>
        <v>0</v>
      </c>
    </row>
    <row r="41" spans="1:32" s="62" customFormat="1" x14ac:dyDescent="0.3">
      <c r="A41" s="57" t="s">
        <v>36</v>
      </c>
      <c r="B41" s="58" t="s">
        <v>173</v>
      </c>
      <c r="C41" s="58" t="s">
        <v>143</v>
      </c>
      <c r="D41" s="58" t="s">
        <v>66</v>
      </c>
      <c r="E41" s="59">
        <v>0</v>
      </c>
      <c r="F41" s="59">
        <v>5</v>
      </c>
      <c r="G41" s="59"/>
      <c r="H41" s="59"/>
      <c r="I41" s="59"/>
      <c r="J41" s="59"/>
      <c r="K41" s="59"/>
      <c r="L41" s="59"/>
      <c r="M41" s="59"/>
      <c r="N41" s="59"/>
      <c r="O41" s="59"/>
      <c r="P41" s="59">
        <f t="shared" ref="P41" si="60">SUM(G41:O41)</f>
        <v>0</v>
      </c>
      <c r="Q41" s="59">
        <f t="shared" ref="Q41" si="61">E41+F41-P41</f>
        <v>5</v>
      </c>
      <c r="R41" s="60">
        <v>40</v>
      </c>
      <c r="S41" s="61">
        <f t="shared" ref="S41" si="62">Q41*R41</f>
        <v>200</v>
      </c>
      <c r="U41" s="62">
        <v>0</v>
      </c>
      <c r="V41" s="62">
        <f t="shared" ref="V41" si="63">Q41+U41</f>
        <v>5</v>
      </c>
      <c r="W41" s="63">
        <f t="shared" si="36"/>
        <v>0</v>
      </c>
      <c r="X41" s="63">
        <f t="shared" si="37"/>
        <v>0</v>
      </c>
      <c r="Y41" s="63">
        <f t="shared" si="38"/>
        <v>0</v>
      </c>
      <c r="Z41" s="63">
        <f t="shared" si="39"/>
        <v>0</v>
      </c>
      <c r="AA41" s="63">
        <f t="shared" si="40"/>
        <v>0</v>
      </c>
      <c r="AB41" s="63">
        <f t="shared" si="41"/>
        <v>0</v>
      </c>
      <c r="AC41" s="63">
        <f t="shared" si="42"/>
        <v>0</v>
      </c>
      <c r="AD41" s="63">
        <f t="shared" si="43"/>
        <v>0</v>
      </c>
      <c r="AE41" s="63">
        <f t="shared" si="44"/>
        <v>0</v>
      </c>
      <c r="AF41" s="63">
        <f t="shared" si="45"/>
        <v>0</v>
      </c>
    </row>
    <row r="42" spans="1:32" s="62" customFormat="1" x14ac:dyDescent="0.3">
      <c r="A42" s="57" t="s">
        <v>36</v>
      </c>
      <c r="B42" s="58" t="s">
        <v>174</v>
      </c>
      <c r="C42" s="58" t="s">
        <v>143</v>
      </c>
      <c r="D42" s="58" t="s">
        <v>42</v>
      </c>
      <c r="E42" s="59">
        <v>3</v>
      </c>
      <c r="F42" s="59">
        <v>10</v>
      </c>
      <c r="G42" s="59"/>
      <c r="H42" s="59"/>
      <c r="I42" s="59">
        <v>3</v>
      </c>
      <c r="J42" s="59"/>
      <c r="K42" s="59">
        <v>1</v>
      </c>
      <c r="L42" s="59"/>
      <c r="M42" s="59"/>
      <c r="N42" s="59"/>
      <c r="O42" s="59"/>
      <c r="P42" s="59">
        <f t="shared" ref="P42:P49" si="64">SUM(G42:O42)</f>
        <v>4</v>
      </c>
      <c r="Q42" s="59">
        <f t="shared" ref="Q42:Q49" si="65">E42+F42-P42</f>
        <v>9</v>
      </c>
      <c r="R42" s="60">
        <v>60</v>
      </c>
      <c r="S42" s="61">
        <f t="shared" ref="S42:S49" si="66">Q42*R42</f>
        <v>540</v>
      </c>
      <c r="U42" s="62">
        <v>0</v>
      </c>
      <c r="V42" s="62">
        <f t="shared" ref="V42:V49" si="67">Q42+U42</f>
        <v>9</v>
      </c>
      <c r="W42" s="63">
        <f t="shared" si="36"/>
        <v>0</v>
      </c>
      <c r="X42" s="63">
        <f t="shared" si="37"/>
        <v>0</v>
      </c>
      <c r="Y42" s="63">
        <f t="shared" si="38"/>
        <v>180</v>
      </c>
      <c r="Z42" s="63">
        <f t="shared" si="39"/>
        <v>0</v>
      </c>
      <c r="AA42" s="63">
        <f t="shared" si="40"/>
        <v>60</v>
      </c>
      <c r="AB42" s="63">
        <f t="shared" si="41"/>
        <v>0</v>
      </c>
      <c r="AC42" s="63">
        <f t="shared" si="42"/>
        <v>0</v>
      </c>
      <c r="AD42" s="63">
        <f t="shared" si="43"/>
        <v>0</v>
      </c>
      <c r="AE42" s="63">
        <f t="shared" si="44"/>
        <v>0</v>
      </c>
      <c r="AF42" s="63">
        <f t="shared" si="45"/>
        <v>240</v>
      </c>
    </row>
    <row r="43" spans="1:32" s="62" customFormat="1" x14ac:dyDescent="0.3">
      <c r="A43" s="57" t="s">
        <v>36</v>
      </c>
      <c r="B43" s="58" t="s">
        <v>175</v>
      </c>
      <c r="C43" s="58" t="s">
        <v>143</v>
      </c>
      <c r="D43" s="58" t="s">
        <v>43</v>
      </c>
      <c r="E43" s="59">
        <v>24</v>
      </c>
      <c r="F43" s="59"/>
      <c r="G43" s="59">
        <v>1</v>
      </c>
      <c r="H43" s="59"/>
      <c r="I43" s="59"/>
      <c r="J43" s="59"/>
      <c r="K43" s="59"/>
      <c r="L43" s="59"/>
      <c r="M43" s="59"/>
      <c r="N43" s="59"/>
      <c r="O43" s="59"/>
      <c r="P43" s="59">
        <f t="shared" si="64"/>
        <v>1</v>
      </c>
      <c r="Q43" s="59">
        <f t="shared" si="65"/>
        <v>23</v>
      </c>
      <c r="R43" s="60">
        <v>80</v>
      </c>
      <c r="S43" s="61">
        <f t="shared" si="66"/>
        <v>1840</v>
      </c>
      <c r="U43" s="62">
        <v>0</v>
      </c>
      <c r="V43" s="62">
        <f t="shared" si="67"/>
        <v>23</v>
      </c>
      <c r="W43" s="63">
        <f t="shared" si="36"/>
        <v>80</v>
      </c>
      <c r="X43" s="63">
        <f t="shared" si="37"/>
        <v>0</v>
      </c>
      <c r="Y43" s="63">
        <f t="shared" si="38"/>
        <v>0</v>
      </c>
      <c r="Z43" s="63">
        <f t="shared" si="39"/>
        <v>0</v>
      </c>
      <c r="AA43" s="63">
        <f t="shared" si="40"/>
        <v>0</v>
      </c>
      <c r="AB43" s="63">
        <f t="shared" si="41"/>
        <v>0</v>
      </c>
      <c r="AC43" s="63">
        <f t="shared" si="42"/>
        <v>0</v>
      </c>
      <c r="AD43" s="63">
        <f t="shared" si="43"/>
        <v>0</v>
      </c>
      <c r="AE43" s="63">
        <f t="shared" si="44"/>
        <v>0</v>
      </c>
      <c r="AF43" s="63">
        <f t="shared" si="45"/>
        <v>80</v>
      </c>
    </row>
    <row r="44" spans="1:32" s="62" customFormat="1" x14ac:dyDescent="0.3">
      <c r="A44" s="57" t="s">
        <v>36</v>
      </c>
      <c r="B44" s="58" t="s">
        <v>176</v>
      </c>
      <c r="C44" s="58" t="s">
        <v>19</v>
      </c>
      <c r="D44" s="58" t="s">
        <v>100</v>
      </c>
      <c r="E44" s="59">
        <v>20</v>
      </c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>
        <f t="shared" si="64"/>
        <v>0</v>
      </c>
      <c r="Q44" s="59">
        <f t="shared" si="65"/>
        <v>20</v>
      </c>
      <c r="R44" s="60">
        <v>30</v>
      </c>
      <c r="S44" s="61">
        <f t="shared" si="66"/>
        <v>600</v>
      </c>
      <c r="U44" s="62">
        <v>0</v>
      </c>
      <c r="V44" s="62">
        <f t="shared" si="67"/>
        <v>20</v>
      </c>
      <c r="W44" s="63">
        <f t="shared" si="36"/>
        <v>0</v>
      </c>
      <c r="X44" s="63">
        <f t="shared" si="37"/>
        <v>0</v>
      </c>
      <c r="Y44" s="63">
        <f t="shared" si="38"/>
        <v>0</v>
      </c>
      <c r="Z44" s="63">
        <f t="shared" si="39"/>
        <v>0</v>
      </c>
      <c r="AA44" s="63">
        <f t="shared" si="40"/>
        <v>0</v>
      </c>
      <c r="AB44" s="63">
        <f t="shared" si="41"/>
        <v>0</v>
      </c>
      <c r="AC44" s="63">
        <f t="shared" si="42"/>
        <v>0</v>
      </c>
      <c r="AD44" s="63">
        <f t="shared" si="43"/>
        <v>0</v>
      </c>
      <c r="AE44" s="63">
        <f t="shared" si="44"/>
        <v>0</v>
      </c>
      <c r="AF44" s="63">
        <f t="shared" si="45"/>
        <v>0</v>
      </c>
    </row>
    <row r="45" spans="1:32" s="62" customFormat="1" x14ac:dyDescent="0.3">
      <c r="A45" s="57" t="s">
        <v>36</v>
      </c>
      <c r="B45" s="58" t="s">
        <v>177</v>
      </c>
      <c r="C45" s="58" t="s">
        <v>19</v>
      </c>
      <c r="D45" s="58" t="s">
        <v>101</v>
      </c>
      <c r="E45" s="59">
        <v>2</v>
      </c>
      <c r="F45" s="59"/>
      <c r="G45" s="59">
        <v>2</v>
      </c>
      <c r="H45" s="59"/>
      <c r="I45" s="59"/>
      <c r="J45" s="59"/>
      <c r="K45" s="59"/>
      <c r="L45" s="59"/>
      <c r="M45" s="59"/>
      <c r="N45" s="59"/>
      <c r="O45" s="59"/>
      <c r="P45" s="59">
        <f t="shared" si="64"/>
        <v>2</v>
      </c>
      <c r="Q45" s="59">
        <f t="shared" si="65"/>
        <v>0</v>
      </c>
      <c r="R45" s="60">
        <v>25</v>
      </c>
      <c r="S45" s="61">
        <f t="shared" si="66"/>
        <v>0</v>
      </c>
      <c r="U45" s="62">
        <v>0</v>
      </c>
      <c r="V45" s="62">
        <f t="shared" si="67"/>
        <v>0</v>
      </c>
      <c r="W45" s="63">
        <f t="shared" si="36"/>
        <v>50</v>
      </c>
      <c r="X45" s="63">
        <f t="shared" si="37"/>
        <v>0</v>
      </c>
      <c r="Y45" s="63">
        <f t="shared" si="38"/>
        <v>0</v>
      </c>
      <c r="Z45" s="63">
        <f t="shared" si="39"/>
        <v>0</v>
      </c>
      <c r="AA45" s="63">
        <f t="shared" si="40"/>
        <v>0</v>
      </c>
      <c r="AB45" s="63">
        <f t="shared" si="41"/>
        <v>0</v>
      </c>
      <c r="AC45" s="63">
        <f t="shared" si="42"/>
        <v>0</v>
      </c>
      <c r="AD45" s="63">
        <f t="shared" si="43"/>
        <v>0</v>
      </c>
      <c r="AE45" s="63">
        <f t="shared" si="44"/>
        <v>0</v>
      </c>
      <c r="AF45" s="63">
        <f t="shared" si="45"/>
        <v>50</v>
      </c>
    </row>
    <row r="46" spans="1:32" s="62" customFormat="1" x14ac:dyDescent="0.3">
      <c r="A46" s="57" t="s">
        <v>36</v>
      </c>
      <c r="B46" s="58" t="s">
        <v>178</v>
      </c>
      <c r="C46" s="50" t="s">
        <v>370</v>
      </c>
      <c r="D46" s="58" t="s">
        <v>102</v>
      </c>
      <c r="E46" s="59">
        <v>2</v>
      </c>
      <c r="F46" s="59"/>
      <c r="G46" s="59"/>
      <c r="H46" s="59"/>
      <c r="I46" s="59"/>
      <c r="J46" s="59">
        <v>1</v>
      </c>
      <c r="K46" s="59"/>
      <c r="L46" s="59"/>
      <c r="M46" s="59"/>
      <c r="N46" s="59">
        <v>1</v>
      </c>
      <c r="O46" s="59"/>
      <c r="P46" s="59">
        <f t="shared" si="64"/>
        <v>2</v>
      </c>
      <c r="Q46" s="59">
        <f t="shared" si="65"/>
        <v>0</v>
      </c>
      <c r="R46" s="60">
        <v>95</v>
      </c>
      <c r="S46" s="61">
        <f t="shared" si="66"/>
        <v>0</v>
      </c>
      <c r="U46" s="62">
        <v>0</v>
      </c>
      <c r="V46" s="62">
        <f t="shared" si="67"/>
        <v>0</v>
      </c>
      <c r="W46" s="63">
        <f t="shared" si="36"/>
        <v>0</v>
      </c>
      <c r="X46" s="63">
        <f t="shared" si="37"/>
        <v>0</v>
      </c>
      <c r="Y46" s="63">
        <f t="shared" si="38"/>
        <v>0</v>
      </c>
      <c r="Z46" s="63">
        <f t="shared" si="39"/>
        <v>95</v>
      </c>
      <c r="AA46" s="63">
        <f t="shared" si="40"/>
        <v>0</v>
      </c>
      <c r="AB46" s="63">
        <f t="shared" si="41"/>
        <v>0</v>
      </c>
      <c r="AC46" s="63">
        <f t="shared" si="42"/>
        <v>0</v>
      </c>
      <c r="AD46" s="63">
        <f t="shared" si="43"/>
        <v>95</v>
      </c>
      <c r="AE46" s="63">
        <f t="shared" si="44"/>
        <v>0</v>
      </c>
      <c r="AF46" s="63">
        <f t="shared" si="45"/>
        <v>190</v>
      </c>
    </row>
    <row r="47" spans="1:32" s="62" customFormat="1" x14ac:dyDescent="0.3">
      <c r="A47" s="57" t="s">
        <v>36</v>
      </c>
      <c r="B47" s="58" t="s">
        <v>179</v>
      </c>
      <c r="C47" s="50" t="s">
        <v>370</v>
      </c>
      <c r="D47" s="58" t="s">
        <v>103</v>
      </c>
      <c r="E47" s="59">
        <v>1</v>
      </c>
      <c r="F47" s="59"/>
      <c r="G47" s="59"/>
      <c r="H47" s="59"/>
      <c r="I47" s="59"/>
      <c r="J47" s="59"/>
      <c r="K47" s="59"/>
      <c r="L47" s="59"/>
      <c r="M47" s="59"/>
      <c r="N47" s="59">
        <v>1</v>
      </c>
      <c r="O47" s="59"/>
      <c r="P47" s="59">
        <f t="shared" si="64"/>
        <v>1</v>
      </c>
      <c r="Q47" s="59">
        <f t="shared" si="65"/>
        <v>0</v>
      </c>
      <c r="R47" s="60">
        <v>85</v>
      </c>
      <c r="S47" s="61">
        <f t="shared" si="66"/>
        <v>0</v>
      </c>
      <c r="V47" s="62">
        <f t="shared" si="67"/>
        <v>0</v>
      </c>
      <c r="W47" s="63">
        <f t="shared" si="36"/>
        <v>0</v>
      </c>
      <c r="X47" s="63">
        <f t="shared" si="37"/>
        <v>0</v>
      </c>
      <c r="Y47" s="63">
        <f t="shared" si="38"/>
        <v>0</v>
      </c>
      <c r="Z47" s="63">
        <f t="shared" si="39"/>
        <v>0</v>
      </c>
      <c r="AA47" s="63">
        <f t="shared" si="40"/>
        <v>0</v>
      </c>
      <c r="AB47" s="63">
        <f t="shared" si="41"/>
        <v>0</v>
      </c>
      <c r="AC47" s="63">
        <f t="shared" si="42"/>
        <v>0</v>
      </c>
      <c r="AD47" s="63">
        <f t="shared" si="43"/>
        <v>85</v>
      </c>
      <c r="AE47" s="63">
        <f t="shared" si="44"/>
        <v>0</v>
      </c>
      <c r="AF47" s="63">
        <f t="shared" si="45"/>
        <v>85</v>
      </c>
    </row>
    <row r="48" spans="1:32" s="62" customFormat="1" x14ac:dyDescent="0.3">
      <c r="A48" s="57" t="s">
        <v>36</v>
      </c>
      <c r="B48" s="58" t="s">
        <v>180</v>
      </c>
      <c r="C48" s="50" t="s">
        <v>370</v>
      </c>
      <c r="D48" s="58" t="s">
        <v>104</v>
      </c>
      <c r="E48" s="59">
        <v>100</v>
      </c>
      <c r="F48" s="59"/>
      <c r="G48" s="59"/>
      <c r="H48" s="59"/>
      <c r="I48" s="59">
        <v>15</v>
      </c>
      <c r="J48" s="59"/>
      <c r="K48" s="59"/>
      <c r="L48" s="59"/>
      <c r="M48" s="59"/>
      <c r="N48" s="59"/>
      <c r="O48" s="59"/>
      <c r="P48" s="59">
        <f t="shared" si="64"/>
        <v>15</v>
      </c>
      <c r="Q48" s="59">
        <f t="shared" si="65"/>
        <v>85</v>
      </c>
      <c r="R48" s="60">
        <v>12.6</v>
      </c>
      <c r="S48" s="61">
        <f t="shared" si="66"/>
        <v>1071</v>
      </c>
      <c r="U48" s="62">
        <v>0</v>
      </c>
      <c r="V48" s="62">
        <f t="shared" si="67"/>
        <v>85</v>
      </c>
      <c r="W48" s="63">
        <f t="shared" si="36"/>
        <v>0</v>
      </c>
      <c r="X48" s="63">
        <f t="shared" si="37"/>
        <v>0</v>
      </c>
      <c r="Y48" s="63">
        <f t="shared" si="38"/>
        <v>189</v>
      </c>
      <c r="Z48" s="63">
        <f t="shared" si="39"/>
        <v>0</v>
      </c>
      <c r="AA48" s="63">
        <f t="shared" si="40"/>
        <v>0</v>
      </c>
      <c r="AB48" s="63">
        <f t="shared" si="41"/>
        <v>0</v>
      </c>
      <c r="AC48" s="63">
        <f t="shared" si="42"/>
        <v>0</v>
      </c>
      <c r="AD48" s="63">
        <f t="shared" si="43"/>
        <v>0</v>
      </c>
      <c r="AE48" s="63">
        <f t="shared" si="44"/>
        <v>0</v>
      </c>
      <c r="AF48" s="63">
        <f t="shared" si="45"/>
        <v>189</v>
      </c>
    </row>
    <row r="49" spans="1:32" s="62" customFormat="1" x14ac:dyDescent="0.3">
      <c r="A49" s="57" t="s">
        <v>36</v>
      </c>
      <c r="B49" s="58" t="s">
        <v>181</v>
      </c>
      <c r="C49" s="50" t="s">
        <v>370</v>
      </c>
      <c r="D49" s="58" t="s">
        <v>105</v>
      </c>
      <c r="E49" s="59">
        <v>49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>
        <f t="shared" si="64"/>
        <v>0</v>
      </c>
      <c r="Q49" s="59">
        <f t="shared" si="65"/>
        <v>49</v>
      </c>
      <c r="R49" s="60">
        <v>20</v>
      </c>
      <c r="S49" s="61">
        <f t="shared" si="66"/>
        <v>980</v>
      </c>
      <c r="U49" s="62">
        <v>0</v>
      </c>
      <c r="V49" s="62">
        <f t="shared" si="67"/>
        <v>49</v>
      </c>
      <c r="W49" s="63">
        <f t="shared" si="36"/>
        <v>0</v>
      </c>
      <c r="X49" s="63">
        <f t="shared" si="37"/>
        <v>0</v>
      </c>
      <c r="Y49" s="63">
        <f t="shared" si="38"/>
        <v>0</v>
      </c>
      <c r="Z49" s="63">
        <f t="shared" si="39"/>
        <v>0</v>
      </c>
      <c r="AA49" s="63">
        <f t="shared" si="40"/>
        <v>0</v>
      </c>
      <c r="AB49" s="63">
        <f t="shared" si="41"/>
        <v>0</v>
      </c>
      <c r="AC49" s="63">
        <f t="shared" si="42"/>
        <v>0</v>
      </c>
      <c r="AD49" s="63">
        <f t="shared" si="43"/>
        <v>0</v>
      </c>
      <c r="AE49" s="63">
        <f t="shared" si="44"/>
        <v>0</v>
      </c>
      <c r="AF49" s="63">
        <f t="shared" si="45"/>
        <v>0</v>
      </c>
    </row>
    <row r="50" spans="1:32" s="69" customFormat="1" x14ac:dyDescent="0.3">
      <c r="A50" s="64" t="s">
        <v>36</v>
      </c>
      <c r="B50" s="65" t="s">
        <v>79</v>
      </c>
      <c r="C50" s="65" t="s">
        <v>41</v>
      </c>
      <c r="D50" s="65" t="s">
        <v>92</v>
      </c>
      <c r="E50" s="66">
        <v>2</v>
      </c>
      <c r="F50" s="66">
        <v>10</v>
      </c>
      <c r="G50" s="66">
        <v>1</v>
      </c>
      <c r="H50" s="66"/>
      <c r="I50" s="66"/>
      <c r="J50" s="66"/>
      <c r="K50" s="66"/>
      <c r="L50" s="66"/>
      <c r="M50" s="66"/>
      <c r="N50" s="66"/>
      <c r="O50" s="66"/>
      <c r="P50" s="66">
        <f t="shared" si="0"/>
        <v>1</v>
      </c>
      <c r="Q50" s="66">
        <f t="shared" si="1"/>
        <v>11</v>
      </c>
      <c r="R50" s="67">
        <v>60</v>
      </c>
      <c r="S50" s="68">
        <f t="shared" si="10"/>
        <v>660</v>
      </c>
      <c r="U50" s="69">
        <v>0</v>
      </c>
      <c r="V50" s="69">
        <f t="shared" si="11"/>
        <v>11</v>
      </c>
      <c r="W50" s="70">
        <f t="shared" si="2"/>
        <v>60</v>
      </c>
      <c r="X50" s="70">
        <f t="shared" si="3"/>
        <v>0</v>
      </c>
      <c r="Y50" s="70">
        <f t="shared" si="4"/>
        <v>0</v>
      </c>
      <c r="Z50" s="70">
        <f t="shared" si="12"/>
        <v>0</v>
      </c>
      <c r="AA50" s="70">
        <f t="shared" si="13"/>
        <v>0</v>
      </c>
      <c r="AB50" s="70">
        <f t="shared" si="14"/>
        <v>0</v>
      </c>
      <c r="AC50" s="70">
        <f t="shared" si="7"/>
        <v>0</v>
      </c>
      <c r="AD50" s="70">
        <f t="shared" si="8"/>
        <v>0</v>
      </c>
      <c r="AE50" s="70">
        <f t="shared" si="9"/>
        <v>0</v>
      </c>
      <c r="AF50" s="70">
        <f t="shared" si="17"/>
        <v>60</v>
      </c>
    </row>
    <row r="51" spans="1:32" s="69" customFormat="1" x14ac:dyDescent="0.3">
      <c r="A51" s="64" t="s">
        <v>36</v>
      </c>
      <c r="B51" s="65" t="s">
        <v>80</v>
      </c>
      <c r="C51" s="65" t="s">
        <v>41</v>
      </c>
      <c r="D51" s="65" t="s">
        <v>93</v>
      </c>
      <c r="E51" s="66">
        <v>14</v>
      </c>
      <c r="F51" s="66">
        <v>30</v>
      </c>
      <c r="G51" s="66">
        <v>2</v>
      </c>
      <c r="H51" s="66"/>
      <c r="I51" s="66"/>
      <c r="J51" s="66"/>
      <c r="K51" s="66"/>
      <c r="L51" s="66">
        <v>1</v>
      </c>
      <c r="M51" s="66"/>
      <c r="N51" s="66"/>
      <c r="O51" s="66"/>
      <c r="P51" s="66">
        <f t="shared" si="0"/>
        <v>3</v>
      </c>
      <c r="Q51" s="66">
        <f t="shared" si="1"/>
        <v>41</v>
      </c>
      <c r="R51" s="67">
        <v>30</v>
      </c>
      <c r="S51" s="68">
        <f t="shared" si="10"/>
        <v>1230</v>
      </c>
      <c r="U51" s="69">
        <v>0</v>
      </c>
      <c r="V51" s="69">
        <f t="shared" si="11"/>
        <v>41</v>
      </c>
      <c r="W51" s="70">
        <f t="shared" si="2"/>
        <v>60</v>
      </c>
      <c r="X51" s="70">
        <f t="shared" si="3"/>
        <v>0</v>
      </c>
      <c r="Y51" s="70">
        <f t="shared" si="4"/>
        <v>0</v>
      </c>
      <c r="Z51" s="70">
        <f t="shared" si="12"/>
        <v>0</v>
      </c>
      <c r="AA51" s="70">
        <f t="shared" si="13"/>
        <v>0</v>
      </c>
      <c r="AB51" s="70">
        <f t="shared" si="14"/>
        <v>30</v>
      </c>
      <c r="AC51" s="70">
        <f t="shared" si="7"/>
        <v>0</v>
      </c>
      <c r="AD51" s="70">
        <f t="shared" si="8"/>
        <v>0</v>
      </c>
      <c r="AE51" s="70">
        <f t="shared" si="9"/>
        <v>0</v>
      </c>
      <c r="AF51" s="70">
        <f t="shared" si="17"/>
        <v>90</v>
      </c>
    </row>
    <row r="52" spans="1:32" s="69" customFormat="1" x14ac:dyDescent="0.3">
      <c r="A52" s="64" t="s">
        <v>36</v>
      </c>
      <c r="B52" s="65" t="s">
        <v>81</v>
      </c>
      <c r="C52" s="65" t="s">
        <v>41</v>
      </c>
      <c r="D52" s="65" t="s">
        <v>94</v>
      </c>
      <c r="E52" s="66">
        <v>0</v>
      </c>
      <c r="F52" s="66">
        <v>20</v>
      </c>
      <c r="G52" s="66">
        <v>1</v>
      </c>
      <c r="H52" s="66"/>
      <c r="I52" s="66"/>
      <c r="J52" s="66"/>
      <c r="K52" s="66"/>
      <c r="L52" s="66"/>
      <c r="M52" s="66"/>
      <c r="N52" s="66"/>
      <c r="O52" s="66"/>
      <c r="P52" s="66">
        <f t="shared" si="0"/>
        <v>1</v>
      </c>
      <c r="Q52" s="66">
        <f t="shared" si="1"/>
        <v>19</v>
      </c>
      <c r="R52" s="67">
        <v>15</v>
      </c>
      <c r="S52" s="68">
        <f t="shared" si="10"/>
        <v>285</v>
      </c>
      <c r="U52" s="69">
        <v>0</v>
      </c>
      <c r="V52" s="69">
        <f t="shared" si="11"/>
        <v>19</v>
      </c>
      <c r="W52" s="70">
        <f t="shared" si="2"/>
        <v>15</v>
      </c>
      <c r="X52" s="70">
        <f t="shared" si="3"/>
        <v>0</v>
      </c>
      <c r="Y52" s="70">
        <f t="shared" si="4"/>
        <v>0</v>
      </c>
      <c r="Z52" s="70">
        <f t="shared" si="12"/>
        <v>0</v>
      </c>
      <c r="AA52" s="70">
        <f t="shared" si="13"/>
        <v>0</v>
      </c>
      <c r="AB52" s="70">
        <f t="shared" si="14"/>
        <v>0</v>
      </c>
      <c r="AC52" s="70">
        <f t="shared" si="7"/>
        <v>0</v>
      </c>
      <c r="AD52" s="70">
        <f t="shared" si="8"/>
        <v>0</v>
      </c>
      <c r="AE52" s="70">
        <f t="shared" si="9"/>
        <v>0</v>
      </c>
      <c r="AF52" s="70">
        <f t="shared" si="17"/>
        <v>15</v>
      </c>
    </row>
    <row r="53" spans="1:32" s="69" customFormat="1" x14ac:dyDescent="0.3">
      <c r="A53" s="64" t="s">
        <v>36</v>
      </c>
      <c r="B53" s="65" t="s">
        <v>82</v>
      </c>
      <c r="C53" s="65" t="s">
        <v>18</v>
      </c>
      <c r="D53" s="65" t="s">
        <v>95</v>
      </c>
      <c r="E53" s="66">
        <v>0</v>
      </c>
      <c r="F53" s="66">
        <v>20</v>
      </c>
      <c r="G53" s="66">
        <v>1</v>
      </c>
      <c r="H53" s="66">
        <v>1</v>
      </c>
      <c r="I53" s="66"/>
      <c r="J53" s="66"/>
      <c r="K53" s="66"/>
      <c r="L53" s="66"/>
      <c r="M53" s="66"/>
      <c r="N53" s="66"/>
      <c r="O53" s="66"/>
      <c r="P53" s="66">
        <f t="shared" si="0"/>
        <v>2</v>
      </c>
      <c r="Q53" s="66">
        <f t="shared" si="1"/>
        <v>18</v>
      </c>
      <c r="R53" s="67">
        <v>25</v>
      </c>
      <c r="S53" s="68">
        <f t="shared" si="10"/>
        <v>450</v>
      </c>
      <c r="U53" s="66"/>
      <c r="V53" s="69">
        <f t="shared" si="11"/>
        <v>18</v>
      </c>
      <c r="W53" s="70">
        <f t="shared" si="2"/>
        <v>25</v>
      </c>
      <c r="X53" s="70">
        <f t="shared" si="3"/>
        <v>25</v>
      </c>
      <c r="Y53" s="70">
        <f t="shared" si="4"/>
        <v>0</v>
      </c>
      <c r="Z53" s="70">
        <f t="shared" si="12"/>
        <v>0</v>
      </c>
      <c r="AA53" s="70">
        <f t="shared" si="13"/>
        <v>0</v>
      </c>
      <c r="AB53" s="70">
        <f t="shared" si="14"/>
        <v>0</v>
      </c>
      <c r="AC53" s="70">
        <f t="shared" si="7"/>
        <v>0</v>
      </c>
      <c r="AD53" s="70">
        <f t="shared" si="8"/>
        <v>0</v>
      </c>
      <c r="AE53" s="70">
        <f t="shared" si="9"/>
        <v>0</v>
      </c>
      <c r="AF53" s="70">
        <f t="shared" si="17"/>
        <v>50</v>
      </c>
    </row>
    <row r="54" spans="1:32" s="69" customFormat="1" x14ac:dyDescent="0.3">
      <c r="A54" s="64" t="s">
        <v>36</v>
      </c>
      <c r="B54" s="65" t="s">
        <v>83</v>
      </c>
      <c r="C54" s="65" t="s">
        <v>18</v>
      </c>
      <c r="D54" s="65" t="s">
        <v>96</v>
      </c>
      <c r="E54" s="66">
        <v>0</v>
      </c>
      <c r="F54" s="66">
        <v>30</v>
      </c>
      <c r="G54" s="66">
        <v>2</v>
      </c>
      <c r="H54" s="66"/>
      <c r="I54" s="66"/>
      <c r="J54" s="66"/>
      <c r="K54" s="66"/>
      <c r="L54" s="66"/>
      <c r="M54" s="66"/>
      <c r="N54" s="66"/>
      <c r="O54" s="66"/>
      <c r="P54" s="66">
        <f t="shared" si="0"/>
        <v>2</v>
      </c>
      <c r="Q54" s="66">
        <f t="shared" si="1"/>
        <v>28</v>
      </c>
      <c r="R54" s="67">
        <v>13</v>
      </c>
      <c r="S54" s="68">
        <f t="shared" si="10"/>
        <v>364</v>
      </c>
      <c r="U54" s="66"/>
      <c r="V54" s="69">
        <f t="shared" si="11"/>
        <v>28</v>
      </c>
      <c r="W54" s="70">
        <f t="shared" si="2"/>
        <v>26</v>
      </c>
      <c r="X54" s="70">
        <f t="shared" si="3"/>
        <v>0</v>
      </c>
      <c r="Y54" s="70">
        <f t="shared" si="4"/>
        <v>0</v>
      </c>
      <c r="Z54" s="70">
        <f t="shared" si="12"/>
        <v>0</v>
      </c>
      <c r="AA54" s="70">
        <f t="shared" si="13"/>
        <v>0</v>
      </c>
      <c r="AB54" s="70">
        <f t="shared" si="14"/>
        <v>0</v>
      </c>
      <c r="AC54" s="70">
        <f t="shared" si="7"/>
        <v>0</v>
      </c>
      <c r="AD54" s="70">
        <f t="shared" si="8"/>
        <v>0</v>
      </c>
      <c r="AE54" s="70">
        <f t="shared" si="9"/>
        <v>0</v>
      </c>
      <c r="AF54" s="70">
        <f t="shared" si="17"/>
        <v>26</v>
      </c>
    </row>
    <row r="55" spans="1:32" s="69" customFormat="1" x14ac:dyDescent="0.3">
      <c r="A55" s="64" t="s">
        <v>36</v>
      </c>
      <c r="B55" s="65" t="s">
        <v>84</v>
      </c>
      <c r="C55" s="65" t="s">
        <v>18</v>
      </c>
      <c r="D55" s="65" t="s">
        <v>348</v>
      </c>
      <c r="E55" s="66">
        <v>43</v>
      </c>
      <c r="F55" s="66"/>
      <c r="G55" s="66">
        <v>1</v>
      </c>
      <c r="H55" s="66">
        <v>1</v>
      </c>
      <c r="I55" s="66"/>
      <c r="J55" s="66"/>
      <c r="K55" s="66"/>
      <c r="L55" s="66"/>
      <c r="M55" s="66"/>
      <c r="N55" s="66">
        <v>4</v>
      </c>
      <c r="O55" s="66"/>
      <c r="P55" s="66">
        <f t="shared" si="0"/>
        <v>6</v>
      </c>
      <c r="Q55" s="66">
        <f t="shared" si="1"/>
        <v>37</v>
      </c>
      <c r="R55" s="67">
        <v>55</v>
      </c>
      <c r="S55" s="68">
        <f t="shared" si="10"/>
        <v>2035</v>
      </c>
      <c r="V55" s="69">
        <f t="shared" si="11"/>
        <v>37</v>
      </c>
      <c r="W55" s="70">
        <f t="shared" ref="W55:W93" si="68">G55*$R55</f>
        <v>55</v>
      </c>
      <c r="X55" s="70">
        <f t="shared" ref="X55:X93" si="69">H55*$R55</f>
        <v>55</v>
      </c>
      <c r="Y55" s="70">
        <f t="shared" ref="Y55:Y93" si="70">I55*$R55</f>
        <v>0</v>
      </c>
      <c r="Z55" s="70">
        <f t="shared" si="12"/>
        <v>0</v>
      </c>
      <c r="AA55" s="70">
        <f t="shared" si="13"/>
        <v>0</v>
      </c>
      <c r="AB55" s="70">
        <f t="shared" si="14"/>
        <v>0</v>
      </c>
      <c r="AC55" s="70">
        <f t="shared" ref="AC55:AC93" si="71">M55*$R55</f>
        <v>0</v>
      </c>
      <c r="AD55" s="70">
        <f t="shared" ref="AD55:AD93" si="72">N55*$R55</f>
        <v>220</v>
      </c>
      <c r="AE55" s="70">
        <f t="shared" ref="AE55:AE93" si="73">O55*$R55</f>
        <v>0</v>
      </c>
      <c r="AF55" s="70">
        <f t="shared" ref="AF55:AF93" si="74">P55*$R55</f>
        <v>330</v>
      </c>
    </row>
    <row r="56" spans="1:32" s="69" customFormat="1" x14ac:dyDescent="0.3">
      <c r="A56" s="64" t="s">
        <v>36</v>
      </c>
      <c r="B56" s="65" t="s">
        <v>85</v>
      </c>
      <c r="C56" s="65" t="s">
        <v>18</v>
      </c>
      <c r="D56" s="65" t="s">
        <v>347</v>
      </c>
      <c r="E56" s="66">
        <v>0</v>
      </c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>
        <f t="shared" si="0"/>
        <v>0</v>
      </c>
      <c r="Q56" s="66">
        <f t="shared" si="1"/>
        <v>0</v>
      </c>
      <c r="R56" s="67">
        <v>100</v>
      </c>
      <c r="S56" s="68">
        <f t="shared" si="10"/>
        <v>0</v>
      </c>
      <c r="V56" s="69">
        <f t="shared" si="11"/>
        <v>0</v>
      </c>
      <c r="W56" s="70">
        <f t="shared" si="68"/>
        <v>0</v>
      </c>
      <c r="X56" s="70">
        <f t="shared" si="69"/>
        <v>0</v>
      </c>
      <c r="Y56" s="70">
        <f t="shared" si="70"/>
        <v>0</v>
      </c>
      <c r="Z56" s="70">
        <f t="shared" si="12"/>
        <v>0</v>
      </c>
      <c r="AA56" s="70">
        <f t="shared" si="13"/>
        <v>0</v>
      </c>
      <c r="AB56" s="70">
        <f t="shared" si="14"/>
        <v>0</v>
      </c>
      <c r="AC56" s="70">
        <f t="shared" si="71"/>
        <v>0</v>
      </c>
      <c r="AD56" s="70">
        <f t="shared" si="72"/>
        <v>0</v>
      </c>
      <c r="AE56" s="70">
        <f t="shared" si="73"/>
        <v>0</v>
      </c>
      <c r="AF56" s="70">
        <f t="shared" si="74"/>
        <v>0</v>
      </c>
    </row>
    <row r="57" spans="1:32" s="69" customFormat="1" x14ac:dyDescent="0.3">
      <c r="A57" s="64" t="s">
        <v>36</v>
      </c>
      <c r="B57" s="65" t="s">
        <v>86</v>
      </c>
      <c r="C57" s="65" t="s">
        <v>20</v>
      </c>
      <c r="D57" s="65" t="s">
        <v>97</v>
      </c>
      <c r="E57" s="66">
        <v>2</v>
      </c>
      <c r="F57" s="66">
        <v>12</v>
      </c>
      <c r="G57" s="66">
        <v>1</v>
      </c>
      <c r="H57" s="66"/>
      <c r="I57" s="66">
        <v>1</v>
      </c>
      <c r="J57" s="66"/>
      <c r="K57" s="66"/>
      <c r="L57" s="66"/>
      <c r="M57" s="66"/>
      <c r="N57" s="66"/>
      <c r="O57" s="66">
        <v>1</v>
      </c>
      <c r="P57" s="66">
        <f t="shared" ref="P57:P66" si="75">SUM(G57:O57)</f>
        <v>3</v>
      </c>
      <c r="Q57" s="66">
        <f t="shared" ref="Q57:Q66" si="76">E57+F57-P57</f>
        <v>11</v>
      </c>
      <c r="R57" s="67">
        <v>60</v>
      </c>
      <c r="S57" s="68">
        <f t="shared" ref="S57:S66" si="77">Q57*R57</f>
        <v>660</v>
      </c>
      <c r="U57" s="66">
        <v>0</v>
      </c>
      <c r="V57" s="69">
        <f t="shared" ref="V57:V66" si="78">Q57+U57</f>
        <v>11</v>
      </c>
      <c r="W57" s="70">
        <f t="shared" ref="W57:W67" si="79">G57*$R57</f>
        <v>60</v>
      </c>
      <c r="X57" s="70">
        <f t="shared" si="69"/>
        <v>0</v>
      </c>
      <c r="Y57" s="70">
        <f t="shared" si="70"/>
        <v>60</v>
      </c>
      <c r="Z57" s="70">
        <f t="shared" si="12"/>
        <v>0</v>
      </c>
      <c r="AA57" s="70">
        <f t="shared" si="13"/>
        <v>0</v>
      </c>
      <c r="AB57" s="70">
        <f t="shared" si="14"/>
        <v>0</v>
      </c>
      <c r="AC57" s="70">
        <f t="shared" si="71"/>
        <v>0</v>
      </c>
      <c r="AD57" s="70">
        <f t="shared" si="72"/>
        <v>0</v>
      </c>
      <c r="AE57" s="70">
        <f t="shared" si="73"/>
        <v>60</v>
      </c>
      <c r="AF57" s="70">
        <f t="shared" si="74"/>
        <v>180</v>
      </c>
    </row>
    <row r="58" spans="1:32" s="69" customFormat="1" x14ac:dyDescent="0.3">
      <c r="A58" s="64" t="s">
        <v>36</v>
      </c>
      <c r="B58" s="65" t="s">
        <v>87</v>
      </c>
      <c r="C58" s="50" t="s">
        <v>370</v>
      </c>
      <c r="D58" s="65" t="s">
        <v>98</v>
      </c>
      <c r="E58" s="66">
        <v>0</v>
      </c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>
        <f t="shared" si="75"/>
        <v>0</v>
      </c>
      <c r="Q58" s="66">
        <f t="shared" si="76"/>
        <v>0</v>
      </c>
      <c r="R58" s="67">
        <v>16</v>
      </c>
      <c r="S58" s="68">
        <f t="shared" si="77"/>
        <v>0</v>
      </c>
      <c r="U58" s="66">
        <v>25</v>
      </c>
      <c r="V58" s="69">
        <f t="shared" si="78"/>
        <v>25</v>
      </c>
      <c r="W58" s="70">
        <f t="shared" si="79"/>
        <v>0</v>
      </c>
      <c r="X58" s="70">
        <f t="shared" si="69"/>
        <v>0</v>
      </c>
      <c r="Y58" s="70">
        <f t="shared" si="70"/>
        <v>0</v>
      </c>
      <c r="Z58" s="70">
        <f t="shared" si="12"/>
        <v>0</v>
      </c>
      <c r="AA58" s="70">
        <f t="shared" si="13"/>
        <v>0</v>
      </c>
      <c r="AB58" s="70">
        <f t="shared" si="14"/>
        <v>0</v>
      </c>
      <c r="AC58" s="70">
        <f t="shared" si="71"/>
        <v>0</v>
      </c>
      <c r="AD58" s="70">
        <f t="shared" si="72"/>
        <v>0</v>
      </c>
      <c r="AE58" s="70">
        <f t="shared" si="73"/>
        <v>0</v>
      </c>
      <c r="AF58" s="70">
        <f t="shared" si="74"/>
        <v>0</v>
      </c>
    </row>
    <row r="59" spans="1:32" s="69" customFormat="1" x14ac:dyDescent="0.3">
      <c r="A59" s="64" t="s">
        <v>37</v>
      </c>
      <c r="B59" s="65" t="s">
        <v>182</v>
      </c>
      <c r="C59" s="50" t="s">
        <v>370</v>
      </c>
      <c r="D59" s="65" t="s">
        <v>99</v>
      </c>
      <c r="E59" s="66">
        <v>0</v>
      </c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>
        <f t="shared" si="75"/>
        <v>0</v>
      </c>
      <c r="Q59" s="66">
        <f t="shared" si="76"/>
        <v>0</v>
      </c>
      <c r="R59" s="67">
        <v>325</v>
      </c>
      <c r="S59" s="68">
        <f t="shared" si="77"/>
        <v>0</v>
      </c>
      <c r="U59" s="66">
        <v>0</v>
      </c>
      <c r="V59" s="69">
        <f t="shared" si="78"/>
        <v>0</v>
      </c>
      <c r="W59" s="70">
        <f t="shared" si="79"/>
        <v>0</v>
      </c>
      <c r="X59" s="70">
        <f t="shared" si="69"/>
        <v>0</v>
      </c>
      <c r="Y59" s="70">
        <f t="shared" si="70"/>
        <v>0</v>
      </c>
      <c r="Z59" s="70">
        <f t="shared" si="12"/>
        <v>0</v>
      </c>
      <c r="AA59" s="70">
        <f t="shared" si="13"/>
        <v>0</v>
      </c>
      <c r="AB59" s="70">
        <f t="shared" si="14"/>
        <v>0</v>
      </c>
      <c r="AC59" s="70">
        <f t="shared" si="71"/>
        <v>0</v>
      </c>
      <c r="AD59" s="70">
        <f t="shared" si="72"/>
        <v>0</v>
      </c>
      <c r="AE59" s="70">
        <f t="shared" si="73"/>
        <v>0</v>
      </c>
      <c r="AF59" s="70">
        <f t="shared" si="74"/>
        <v>0</v>
      </c>
    </row>
    <row r="60" spans="1:32" s="69" customFormat="1" x14ac:dyDescent="0.3">
      <c r="A60" s="64" t="s">
        <v>36</v>
      </c>
      <c r="B60" s="65" t="s">
        <v>88</v>
      </c>
      <c r="C60" s="65" t="s">
        <v>18</v>
      </c>
      <c r="D60" s="65" t="s">
        <v>6</v>
      </c>
      <c r="E60" s="66">
        <v>10</v>
      </c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>
        <f t="shared" si="75"/>
        <v>0</v>
      </c>
      <c r="Q60" s="66">
        <f t="shared" si="76"/>
        <v>10</v>
      </c>
      <c r="R60" s="67">
        <v>14</v>
      </c>
      <c r="S60" s="68">
        <f t="shared" si="77"/>
        <v>140</v>
      </c>
      <c r="U60" s="66">
        <v>0</v>
      </c>
      <c r="V60" s="69">
        <f t="shared" si="78"/>
        <v>10</v>
      </c>
      <c r="W60" s="70">
        <f t="shared" si="79"/>
        <v>0</v>
      </c>
      <c r="X60" s="70">
        <f t="shared" si="69"/>
        <v>0</v>
      </c>
      <c r="Y60" s="70">
        <f t="shared" si="70"/>
        <v>0</v>
      </c>
      <c r="Z60" s="70">
        <f t="shared" si="12"/>
        <v>0</v>
      </c>
      <c r="AA60" s="70">
        <f t="shared" si="13"/>
        <v>0</v>
      </c>
      <c r="AB60" s="70">
        <f t="shared" si="14"/>
        <v>0</v>
      </c>
      <c r="AC60" s="70">
        <f t="shared" si="71"/>
        <v>0</v>
      </c>
      <c r="AD60" s="70">
        <f t="shared" si="72"/>
        <v>0</v>
      </c>
      <c r="AE60" s="70">
        <f t="shared" si="73"/>
        <v>0</v>
      </c>
      <c r="AF60" s="70">
        <f t="shared" si="74"/>
        <v>0</v>
      </c>
    </row>
    <row r="61" spans="1:32" s="69" customFormat="1" x14ac:dyDescent="0.3">
      <c r="A61" s="64" t="s">
        <v>37</v>
      </c>
      <c r="B61" s="65" t="s">
        <v>89</v>
      </c>
      <c r="C61" s="50" t="s">
        <v>370</v>
      </c>
      <c r="D61" s="65" t="s">
        <v>144</v>
      </c>
      <c r="E61" s="66">
        <v>0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>
        <f t="shared" si="75"/>
        <v>0</v>
      </c>
      <c r="Q61" s="66">
        <f t="shared" si="76"/>
        <v>0</v>
      </c>
      <c r="R61" s="67">
        <v>400</v>
      </c>
      <c r="S61" s="68">
        <f t="shared" si="77"/>
        <v>0</v>
      </c>
      <c r="U61" s="66">
        <v>0</v>
      </c>
      <c r="V61" s="69">
        <f t="shared" si="78"/>
        <v>0</v>
      </c>
      <c r="W61" s="70">
        <f t="shared" si="79"/>
        <v>0</v>
      </c>
      <c r="X61" s="70">
        <f t="shared" si="69"/>
        <v>0</v>
      </c>
      <c r="Y61" s="70">
        <f t="shared" si="70"/>
        <v>0</v>
      </c>
      <c r="Z61" s="70">
        <f t="shared" si="12"/>
        <v>0</v>
      </c>
      <c r="AA61" s="70">
        <f t="shared" si="13"/>
        <v>0</v>
      </c>
      <c r="AB61" s="70">
        <f t="shared" si="14"/>
        <v>0</v>
      </c>
      <c r="AC61" s="70">
        <f t="shared" si="71"/>
        <v>0</v>
      </c>
      <c r="AD61" s="70">
        <f t="shared" si="72"/>
        <v>0</v>
      </c>
      <c r="AE61" s="70">
        <f t="shared" si="73"/>
        <v>0</v>
      </c>
      <c r="AF61" s="70">
        <f t="shared" si="74"/>
        <v>0</v>
      </c>
    </row>
    <row r="62" spans="1:32" s="69" customFormat="1" x14ac:dyDescent="0.3">
      <c r="A62" s="64" t="s">
        <v>37</v>
      </c>
      <c r="B62" s="65" t="s">
        <v>183</v>
      </c>
      <c r="C62" s="50" t="s">
        <v>370</v>
      </c>
      <c r="D62" s="65" t="s">
        <v>145</v>
      </c>
      <c r="E62" s="66">
        <v>1</v>
      </c>
      <c r="F62" s="66"/>
      <c r="G62" s="66"/>
      <c r="H62" s="66"/>
      <c r="I62" s="66"/>
      <c r="J62" s="66">
        <v>1</v>
      </c>
      <c r="K62" s="66"/>
      <c r="L62" s="66"/>
      <c r="M62" s="66"/>
      <c r="N62" s="66"/>
      <c r="O62" s="66"/>
      <c r="P62" s="66">
        <f t="shared" si="75"/>
        <v>1</v>
      </c>
      <c r="Q62" s="66">
        <f t="shared" si="76"/>
        <v>0</v>
      </c>
      <c r="R62" s="67">
        <v>200</v>
      </c>
      <c r="S62" s="68">
        <f t="shared" si="77"/>
        <v>0</v>
      </c>
      <c r="U62" s="66">
        <v>0</v>
      </c>
      <c r="V62" s="69">
        <f t="shared" si="78"/>
        <v>0</v>
      </c>
      <c r="W62" s="70">
        <f t="shared" si="79"/>
        <v>0</v>
      </c>
      <c r="X62" s="70">
        <f t="shared" si="69"/>
        <v>0</v>
      </c>
      <c r="Y62" s="70">
        <f t="shared" si="70"/>
        <v>0</v>
      </c>
      <c r="Z62" s="70">
        <f t="shared" si="12"/>
        <v>200</v>
      </c>
      <c r="AA62" s="70">
        <f t="shared" si="13"/>
        <v>0</v>
      </c>
      <c r="AB62" s="70">
        <f t="shared" si="14"/>
        <v>0</v>
      </c>
      <c r="AC62" s="70">
        <f t="shared" si="71"/>
        <v>0</v>
      </c>
      <c r="AD62" s="70">
        <f t="shared" si="72"/>
        <v>0</v>
      </c>
      <c r="AE62" s="70">
        <f t="shared" si="73"/>
        <v>0</v>
      </c>
      <c r="AF62" s="70">
        <f t="shared" si="74"/>
        <v>200</v>
      </c>
    </row>
    <row r="63" spans="1:32" s="69" customFormat="1" x14ac:dyDescent="0.3">
      <c r="A63" s="64" t="s">
        <v>37</v>
      </c>
      <c r="B63" s="65" t="s">
        <v>184</v>
      </c>
      <c r="C63" s="50" t="s">
        <v>370</v>
      </c>
      <c r="D63" s="65" t="s">
        <v>146</v>
      </c>
      <c r="E63" s="66">
        <v>0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>
        <f t="shared" si="75"/>
        <v>0</v>
      </c>
      <c r="Q63" s="66">
        <f t="shared" si="76"/>
        <v>0</v>
      </c>
      <c r="R63" s="67">
        <v>65</v>
      </c>
      <c r="S63" s="68">
        <f t="shared" si="77"/>
        <v>0</v>
      </c>
      <c r="U63" s="66">
        <v>4</v>
      </c>
      <c r="V63" s="69">
        <f t="shared" si="78"/>
        <v>4</v>
      </c>
      <c r="W63" s="70">
        <f t="shared" si="79"/>
        <v>0</v>
      </c>
      <c r="X63" s="70">
        <f t="shared" si="69"/>
        <v>0</v>
      </c>
      <c r="Y63" s="70">
        <f t="shared" si="70"/>
        <v>0</v>
      </c>
      <c r="Z63" s="70">
        <f t="shared" si="12"/>
        <v>0</v>
      </c>
      <c r="AA63" s="70">
        <f t="shared" si="13"/>
        <v>0</v>
      </c>
      <c r="AB63" s="70">
        <f t="shared" si="14"/>
        <v>0</v>
      </c>
      <c r="AC63" s="70">
        <f t="shared" si="71"/>
        <v>0</v>
      </c>
      <c r="AD63" s="70">
        <f t="shared" si="72"/>
        <v>0</v>
      </c>
      <c r="AE63" s="70">
        <f t="shared" si="73"/>
        <v>0</v>
      </c>
      <c r="AF63" s="70">
        <f t="shared" si="74"/>
        <v>0</v>
      </c>
    </row>
    <row r="64" spans="1:32" s="69" customFormat="1" x14ac:dyDescent="0.3">
      <c r="A64" s="64" t="s">
        <v>36</v>
      </c>
      <c r="B64" s="65" t="s">
        <v>185</v>
      </c>
      <c r="C64" s="65" t="s">
        <v>18</v>
      </c>
      <c r="D64" s="65" t="s">
        <v>147</v>
      </c>
      <c r="E64" s="66">
        <v>5</v>
      </c>
      <c r="F64" s="66"/>
      <c r="G64" s="66"/>
      <c r="H64" s="66"/>
      <c r="I64" s="66"/>
      <c r="J64" s="66">
        <v>1</v>
      </c>
      <c r="K64" s="66"/>
      <c r="L64" s="66">
        <v>1</v>
      </c>
      <c r="M64" s="66"/>
      <c r="N64" s="66">
        <v>1</v>
      </c>
      <c r="O64" s="66">
        <v>1</v>
      </c>
      <c r="P64" s="66">
        <f t="shared" si="75"/>
        <v>4</v>
      </c>
      <c r="Q64" s="66">
        <f t="shared" si="76"/>
        <v>1</v>
      </c>
      <c r="R64" s="67">
        <v>65</v>
      </c>
      <c r="S64" s="68">
        <f t="shared" si="77"/>
        <v>65</v>
      </c>
      <c r="U64" s="66">
        <v>17</v>
      </c>
      <c r="V64" s="69">
        <f t="shared" si="78"/>
        <v>18</v>
      </c>
      <c r="W64" s="70">
        <f t="shared" si="79"/>
        <v>0</v>
      </c>
      <c r="X64" s="70">
        <f t="shared" si="69"/>
        <v>0</v>
      </c>
      <c r="Y64" s="70">
        <f t="shared" si="70"/>
        <v>0</v>
      </c>
      <c r="Z64" s="70">
        <f t="shared" si="12"/>
        <v>65</v>
      </c>
      <c r="AA64" s="70">
        <f t="shared" si="13"/>
        <v>0</v>
      </c>
      <c r="AB64" s="70">
        <f t="shared" si="14"/>
        <v>65</v>
      </c>
      <c r="AC64" s="70">
        <f t="shared" si="71"/>
        <v>0</v>
      </c>
      <c r="AD64" s="70">
        <f t="shared" si="72"/>
        <v>65</v>
      </c>
      <c r="AE64" s="70">
        <f t="shared" si="73"/>
        <v>65</v>
      </c>
      <c r="AF64" s="70">
        <f t="shared" si="74"/>
        <v>260</v>
      </c>
    </row>
    <row r="65" spans="1:32" s="69" customFormat="1" x14ac:dyDescent="0.3">
      <c r="A65" s="64" t="s">
        <v>36</v>
      </c>
      <c r="B65" s="65" t="s">
        <v>186</v>
      </c>
      <c r="C65" s="65" t="s">
        <v>18</v>
      </c>
      <c r="D65" s="65" t="s">
        <v>9</v>
      </c>
      <c r="E65" s="66">
        <v>9</v>
      </c>
      <c r="F65" s="66"/>
      <c r="G65" s="66"/>
      <c r="H65" s="66"/>
      <c r="I65" s="66"/>
      <c r="J65" s="66">
        <v>1</v>
      </c>
      <c r="K65" s="66"/>
      <c r="L65" s="66"/>
      <c r="M65" s="66"/>
      <c r="N65" s="66"/>
      <c r="O65" s="66"/>
      <c r="P65" s="66">
        <f t="shared" si="75"/>
        <v>1</v>
      </c>
      <c r="Q65" s="66">
        <f t="shared" si="76"/>
        <v>8</v>
      </c>
      <c r="R65" s="67">
        <v>15</v>
      </c>
      <c r="S65" s="68">
        <f t="shared" si="77"/>
        <v>120</v>
      </c>
      <c r="U65" s="66">
        <v>25</v>
      </c>
      <c r="V65" s="69">
        <f t="shared" si="78"/>
        <v>33</v>
      </c>
      <c r="W65" s="70">
        <f t="shared" si="79"/>
        <v>0</v>
      </c>
      <c r="X65" s="70">
        <f t="shared" si="69"/>
        <v>0</v>
      </c>
      <c r="Y65" s="70">
        <f t="shared" si="70"/>
        <v>0</v>
      </c>
      <c r="Z65" s="70">
        <f t="shared" si="12"/>
        <v>15</v>
      </c>
      <c r="AA65" s="70">
        <f t="shared" si="13"/>
        <v>0</v>
      </c>
      <c r="AB65" s="70">
        <f t="shared" si="14"/>
        <v>0</v>
      </c>
      <c r="AC65" s="70">
        <f t="shared" si="71"/>
        <v>0</v>
      </c>
      <c r="AD65" s="70">
        <f t="shared" si="72"/>
        <v>0</v>
      </c>
      <c r="AE65" s="70">
        <f t="shared" si="73"/>
        <v>0</v>
      </c>
      <c r="AF65" s="70">
        <f t="shared" si="74"/>
        <v>15</v>
      </c>
    </row>
    <row r="66" spans="1:32" s="69" customFormat="1" x14ac:dyDescent="0.3">
      <c r="A66" s="64" t="s">
        <v>37</v>
      </c>
      <c r="B66" s="65" t="s">
        <v>187</v>
      </c>
      <c r="C66" s="50" t="s">
        <v>370</v>
      </c>
      <c r="D66" s="65" t="s">
        <v>67</v>
      </c>
      <c r="E66" s="66">
        <v>0</v>
      </c>
      <c r="F66" s="66">
        <v>10</v>
      </c>
      <c r="G66" s="66">
        <v>1</v>
      </c>
      <c r="H66" s="66"/>
      <c r="I66" s="66"/>
      <c r="J66" s="66"/>
      <c r="K66" s="66"/>
      <c r="L66" s="66"/>
      <c r="M66" s="66"/>
      <c r="N66" s="66"/>
      <c r="O66" s="66"/>
      <c r="P66" s="66">
        <f t="shared" si="75"/>
        <v>1</v>
      </c>
      <c r="Q66" s="66">
        <f t="shared" si="76"/>
        <v>9</v>
      </c>
      <c r="R66" s="67">
        <v>125</v>
      </c>
      <c r="S66" s="68">
        <f t="shared" si="77"/>
        <v>1125</v>
      </c>
      <c r="U66" s="66">
        <v>0</v>
      </c>
      <c r="V66" s="69">
        <f t="shared" si="78"/>
        <v>9</v>
      </c>
      <c r="W66" s="70">
        <f t="shared" si="79"/>
        <v>125</v>
      </c>
      <c r="X66" s="70">
        <f t="shared" si="69"/>
        <v>0</v>
      </c>
      <c r="Y66" s="70">
        <f t="shared" si="70"/>
        <v>0</v>
      </c>
      <c r="Z66" s="70">
        <f t="shared" si="12"/>
        <v>0</v>
      </c>
      <c r="AA66" s="70">
        <f t="shared" si="13"/>
        <v>0</v>
      </c>
      <c r="AB66" s="70">
        <f t="shared" si="14"/>
        <v>0</v>
      </c>
      <c r="AC66" s="70">
        <f t="shared" si="71"/>
        <v>0</v>
      </c>
      <c r="AD66" s="70">
        <f t="shared" si="72"/>
        <v>0</v>
      </c>
      <c r="AE66" s="70">
        <f t="shared" si="73"/>
        <v>0</v>
      </c>
      <c r="AF66" s="70">
        <f t="shared" si="74"/>
        <v>125</v>
      </c>
    </row>
    <row r="67" spans="1:32" s="69" customFormat="1" x14ac:dyDescent="0.3">
      <c r="A67" s="64" t="s">
        <v>37</v>
      </c>
      <c r="B67" s="65" t="s">
        <v>188</v>
      </c>
      <c r="C67" s="50" t="s">
        <v>370</v>
      </c>
      <c r="D67" s="65" t="s">
        <v>68</v>
      </c>
      <c r="E67" s="66">
        <v>0</v>
      </c>
      <c r="F67" s="66">
        <v>1</v>
      </c>
      <c r="G67" s="66">
        <v>1</v>
      </c>
      <c r="H67" s="66"/>
      <c r="I67" s="66"/>
      <c r="J67" s="66"/>
      <c r="K67" s="66"/>
      <c r="L67" s="66"/>
      <c r="M67" s="66"/>
      <c r="N67" s="66"/>
      <c r="O67" s="66"/>
      <c r="P67" s="66">
        <f t="shared" ref="P67" si="80">SUM(G67:O67)</f>
        <v>1</v>
      </c>
      <c r="Q67" s="66">
        <f t="shared" ref="Q67" si="81">E67+F67-P67</f>
        <v>0</v>
      </c>
      <c r="R67" s="67">
        <v>1800</v>
      </c>
      <c r="S67" s="68">
        <f t="shared" ref="S67" si="82">Q67*R67</f>
        <v>0</v>
      </c>
      <c r="U67" s="66">
        <v>0</v>
      </c>
      <c r="V67" s="69">
        <f t="shared" ref="V67" si="83">Q67+U67</f>
        <v>0</v>
      </c>
      <c r="W67" s="70">
        <f t="shared" si="79"/>
        <v>1800</v>
      </c>
      <c r="X67" s="70">
        <f t="shared" si="69"/>
        <v>0</v>
      </c>
      <c r="Y67" s="70">
        <f t="shared" si="70"/>
        <v>0</v>
      </c>
      <c r="Z67" s="70">
        <f t="shared" si="12"/>
        <v>0</v>
      </c>
      <c r="AA67" s="70">
        <f t="shared" si="13"/>
        <v>0</v>
      </c>
      <c r="AB67" s="70">
        <f t="shared" si="14"/>
        <v>0</v>
      </c>
      <c r="AC67" s="70">
        <f t="shared" si="71"/>
        <v>0</v>
      </c>
      <c r="AD67" s="70">
        <f t="shared" si="72"/>
        <v>0</v>
      </c>
      <c r="AE67" s="70">
        <f t="shared" si="73"/>
        <v>0</v>
      </c>
      <c r="AF67" s="70">
        <f t="shared" si="74"/>
        <v>1800</v>
      </c>
    </row>
    <row r="68" spans="1:32" s="69" customFormat="1" x14ac:dyDescent="0.3">
      <c r="A68" s="64" t="s">
        <v>36</v>
      </c>
      <c r="B68" s="65" t="s">
        <v>90</v>
      </c>
      <c r="C68" s="65" t="s">
        <v>22</v>
      </c>
      <c r="D68" s="65" t="s">
        <v>195</v>
      </c>
      <c r="E68" s="66">
        <v>0</v>
      </c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>
        <f t="shared" ref="P68:P76" si="84">SUM(G68:O68)</f>
        <v>0</v>
      </c>
      <c r="Q68" s="66">
        <f t="shared" ref="Q68:Q76" si="85">E68+F68-P68</f>
        <v>0</v>
      </c>
      <c r="R68" s="67">
        <v>30</v>
      </c>
      <c r="S68" s="68">
        <f t="shared" ref="S68:S76" si="86">Q68*R68</f>
        <v>0</v>
      </c>
      <c r="U68" s="66"/>
      <c r="V68" s="69">
        <f t="shared" ref="V68:V76" si="87">Q68+U68</f>
        <v>0</v>
      </c>
      <c r="W68" s="70">
        <f t="shared" ref="W68:W76" si="88">G68*$R68</f>
        <v>0</v>
      </c>
      <c r="X68" s="70">
        <f t="shared" si="69"/>
        <v>0</v>
      </c>
      <c r="Y68" s="70">
        <f t="shared" si="70"/>
        <v>0</v>
      </c>
      <c r="Z68" s="70">
        <f t="shared" si="12"/>
        <v>0</v>
      </c>
      <c r="AA68" s="70">
        <f t="shared" si="13"/>
        <v>0</v>
      </c>
      <c r="AB68" s="70">
        <f t="shared" si="14"/>
        <v>0</v>
      </c>
      <c r="AC68" s="70">
        <f t="shared" si="71"/>
        <v>0</v>
      </c>
      <c r="AD68" s="70">
        <f t="shared" si="72"/>
        <v>0</v>
      </c>
      <c r="AE68" s="70">
        <f t="shared" si="73"/>
        <v>0</v>
      </c>
      <c r="AF68" s="70">
        <f t="shared" si="74"/>
        <v>0</v>
      </c>
    </row>
    <row r="69" spans="1:32" s="69" customFormat="1" x14ac:dyDescent="0.3">
      <c r="A69" s="64" t="s">
        <v>36</v>
      </c>
      <c r="B69" s="65" t="s">
        <v>189</v>
      </c>
      <c r="C69" s="65" t="s">
        <v>22</v>
      </c>
      <c r="D69" s="65" t="s">
        <v>196</v>
      </c>
      <c r="E69" s="66">
        <v>0</v>
      </c>
      <c r="F69" s="66">
        <v>5</v>
      </c>
      <c r="G69" s="66"/>
      <c r="H69" s="66"/>
      <c r="I69" s="66">
        <v>1</v>
      </c>
      <c r="J69" s="66"/>
      <c r="K69" s="66"/>
      <c r="L69" s="66"/>
      <c r="M69" s="66"/>
      <c r="N69" s="66"/>
      <c r="O69" s="66"/>
      <c r="P69" s="66">
        <f t="shared" si="84"/>
        <v>1</v>
      </c>
      <c r="Q69" s="66">
        <f t="shared" si="85"/>
        <v>4</v>
      </c>
      <c r="R69" s="67">
        <v>40</v>
      </c>
      <c r="S69" s="68">
        <f t="shared" si="86"/>
        <v>160</v>
      </c>
      <c r="U69" s="66"/>
      <c r="V69" s="69">
        <f t="shared" si="87"/>
        <v>4</v>
      </c>
      <c r="W69" s="70">
        <f t="shared" si="88"/>
        <v>0</v>
      </c>
      <c r="X69" s="70">
        <f t="shared" si="69"/>
        <v>0</v>
      </c>
      <c r="Y69" s="70">
        <f t="shared" si="70"/>
        <v>40</v>
      </c>
      <c r="Z69" s="70">
        <f t="shared" si="12"/>
        <v>0</v>
      </c>
      <c r="AA69" s="70">
        <f t="shared" si="13"/>
        <v>0</v>
      </c>
      <c r="AB69" s="70">
        <f t="shared" si="14"/>
        <v>0</v>
      </c>
      <c r="AC69" s="70">
        <f t="shared" si="71"/>
        <v>0</v>
      </c>
      <c r="AD69" s="70">
        <f t="shared" si="72"/>
        <v>0</v>
      </c>
      <c r="AE69" s="70">
        <f t="shared" si="73"/>
        <v>0</v>
      </c>
      <c r="AF69" s="70">
        <f t="shared" si="74"/>
        <v>40</v>
      </c>
    </row>
    <row r="70" spans="1:32" s="69" customFormat="1" x14ac:dyDescent="0.3">
      <c r="A70" s="64" t="s">
        <v>36</v>
      </c>
      <c r="B70" s="65" t="s">
        <v>190</v>
      </c>
      <c r="C70" s="65" t="s">
        <v>22</v>
      </c>
      <c r="D70" s="65" t="s">
        <v>197</v>
      </c>
      <c r="E70" s="66">
        <v>3</v>
      </c>
      <c r="F70" s="66"/>
      <c r="G70" s="66"/>
      <c r="H70" s="66"/>
      <c r="I70" s="66">
        <v>2</v>
      </c>
      <c r="J70" s="66"/>
      <c r="K70" s="66"/>
      <c r="L70" s="66"/>
      <c r="M70" s="66">
        <v>1</v>
      </c>
      <c r="N70" s="66"/>
      <c r="O70" s="66"/>
      <c r="P70" s="66">
        <f t="shared" si="84"/>
        <v>3</v>
      </c>
      <c r="Q70" s="66">
        <f t="shared" si="85"/>
        <v>0</v>
      </c>
      <c r="R70" s="67">
        <v>60</v>
      </c>
      <c r="S70" s="68">
        <f t="shared" si="86"/>
        <v>0</v>
      </c>
      <c r="U70" s="66"/>
      <c r="V70" s="69">
        <f t="shared" si="87"/>
        <v>0</v>
      </c>
      <c r="W70" s="70">
        <f t="shared" si="88"/>
        <v>0</v>
      </c>
      <c r="X70" s="70">
        <f t="shared" si="69"/>
        <v>0</v>
      </c>
      <c r="Y70" s="70">
        <f t="shared" si="70"/>
        <v>120</v>
      </c>
      <c r="Z70" s="70">
        <f t="shared" si="12"/>
        <v>0</v>
      </c>
      <c r="AA70" s="70">
        <f t="shared" si="13"/>
        <v>0</v>
      </c>
      <c r="AB70" s="70">
        <f t="shared" si="14"/>
        <v>0</v>
      </c>
      <c r="AC70" s="70">
        <f t="shared" si="71"/>
        <v>60</v>
      </c>
      <c r="AD70" s="70">
        <f t="shared" si="72"/>
        <v>0</v>
      </c>
      <c r="AE70" s="70">
        <f t="shared" si="73"/>
        <v>0</v>
      </c>
      <c r="AF70" s="70">
        <f t="shared" si="74"/>
        <v>180</v>
      </c>
    </row>
    <row r="71" spans="1:32" s="69" customFormat="1" x14ac:dyDescent="0.3">
      <c r="A71" s="64" t="s">
        <v>36</v>
      </c>
      <c r="B71" s="65" t="s">
        <v>191</v>
      </c>
      <c r="C71" s="65" t="s">
        <v>22</v>
      </c>
      <c r="D71" s="65" t="s">
        <v>198</v>
      </c>
      <c r="E71" s="66">
        <v>0</v>
      </c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>
        <f t="shared" si="84"/>
        <v>0</v>
      </c>
      <c r="Q71" s="66">
        <f t="shared" si="85"/>
        <v>0</v>
      </c>
      <c r="R71" s="67">
        <v>40</v>
      </c>
      <c r="S71" s="68">
        <f t="shared" si="86"/>
        <v>0</v>
      </c>
      <c r="U71" s="66"/>
      <c r="V71" s="69">
        <f t="shared" si="87"/>
        <v>0</v>
      </c>
      <c r="W71" s="70">
        <f t="shared" si="88"/>
        <v>0</v>
      </c>
      <c r="X71" s="70">
        <f t="shared" si="69"/>
        <v>0</v>
      </c>
      <c r="Y71" s="70">
        <f t="shared" si="70"/>
        <v>0</v>
      </c>
      <c r="Z71" s="70">
        <f t="shared" si="12"/>
        <v>0</v>
      </c>
      <c r="AA71" s="70">
        <f t="shared" si="13"/>
        <v>0</v>
      </c>
      <c r="AB71" s="70">
        <f t="shared" si="14"/>
        <v>0</v>
      </c>
      <c r="AC71" s="70">
        <f t="shared" si="71"/>
        <v>0</v>
      </c>
      <c r="AD71" s="70">
        <f t="shared" si="72"/>
        <v>0</v>
      </c>
      <c r="AE71" s="70">
        <f t="shared" si="73"/>
        <v>0</v>
      </c>
      <c r="AF71" s="70">
        <f t="shared" si="74"/>
        <v>0</v>
      </c>
    </row>
    <row r="72" spans="1:32" s="69" customFormat="1" x14ac:dyDescent="0.3">
      <c r="A72" s="64" t="s">
        <v>36</v>
      </c>
      <c r="B72" s="65" t="s">
        <v>192</v>
      </c>
      <c r="C72" s="65" t="s">
        <v>22</v>
      </c>
      <c r="D72" s="65" t="s">
        <v>199</v>
      </c>
      <c r="E72" s="66">
        <v>0</v>
      </c>
      <c r="F72" s="66">
        <v>5</v>
      </c>
      <c r="G72" s="66">
        <v>1</v>
      </c>
      <c r="H72" s="66"/>
      <c r="I72" s="66">
        <v>1</v>
      </c>
      <c r="J72" s="66"/>
      <c r="K72" s="66">
        <v>1</v>
      </c>
      <c r="L72" s="66"/>
      <c r="M72" s="66"/>
      <c r="N72" s="66"/>
      <c r="O72" s="66">
        <v>1</v>
      </c>
      <c r="P72" s="66">
        <f t="shared" si="84"/>
        <v>4</v>
      </c>
      <c r="Q72" s="66">
        <f t="shared" si="85"/>
        <v>1</v>
      </c>
      <c r="R72" s="67">
        <v>60</v>
      </c>
      <c r="S72" s="68">
        <f t="shared" si="86"/>
        <v>60</v>
      </c>
      <c r="U72" s="66"/>
      <c r="V72" s="69">
        <f t="shared" si="87"/>
        <v>1</v>
      </c>
      <c r="W72" s="70">
        <f t="shared" si="88"/>
        <v>60</v>
      </c>
      <c r="X72" s="70">
        <f t="shared" si="69"/>
        <v>0</v>
      </c>
      <c r="Y72" s="70">
        <f t="shared" si="70"/>
        <v>60</v>
      </c>
      <c r="Z72" s="70">
        <f t="shared" si="12"/>
        <v>0</v>
      </c>
      <c r="AA72" s="70">
        <f t="shared" si="13"/>
        <v>60</v>
      </c>
      <c r="AB72" s="70">
        <f t="shared" si="14"/>
        <v>0</v>
      </c>
      <c r="AC72" s="70">
        <f t="shared" si="71"/>
        <v>0</v>
      </c>
      <c r="AD72" s="70">
        <f t="shared" si="72"/>
        <v>0</v>
      </c>
      <c r="AE72" s="70">
        <f t="shared" si="73"/>
        <v>60</v>
      </c>
      <c r="AF72" s="70">
        <f t="shared" si="74"/>
        <v>240</v>
      </c>
    </row>
    <row r="73" spans="1:32" s="69" customFormat="1" x14ac:dyDescent="0.3">
      <c r="A73" s="64" t="s">
        <v>36</v>
      </c>
      <c r="B73" s="65" t="s">
        <v>193</v>
      </c>
      <c r="C73" s="65" t="s">
        <v>22</v>
      </c>
      <c r="D73" s="65" t="s">
        <v>194</v>
      </c>
      <c r="E73" s="66">
        <v>0</v>
      </c>
      <c r="F73" s="66">
        <v>5</v>
      </c>
      <c r="G73" s="66"/>
      <c r="H73" s="66">
        <v>1</v>
      </c>
      <c r="I73" s="66"/>
      <c r="J73" s="66"/>
      <c r="K73" s="66"/>
      <c r="L73" s="66">
        <v>1</v>
      </c>
      <c r="M73" s="66"/>
      <c r="N73" s="66">
        <v>1</v>
      </c>
      <c r="O73" s="66">
        <v>1</v>
      </c>
      <c r="P73" s="66">
        <f t="shared" si="84"/>
        <v>4</v>
      </c>
      <c r="Q73" s="66">
        <f t="shared" si="85"/>
        <v>1</v>
      </c>
      <c r="R73" s="67">
        <v>60</v>
      </c>
      <c r="S73" s="68">
        <f t="shared" si="86"/>
        <v>60</v>
      </c>
      <c r="U73" s="66"/>
      <c r="V73" s="69">
        <f t="shared" si="87"/>
        <v>1</v>
      </c>
      <c r="W73" s="70">
        <f t="shared" si="88"/>
        <v>0</v>
      </c>
      <c r="X73" s="70">
        <f t="shared" si="69"/>
        <v>60</v>
      </c>
      <c r="Y73" s="70">
        <f t="shared" si="70"/>
        <v>0</v>
      </c>
      <c r="Z73" s="70">
        <f t="shared" si="12"/>
        <v>0</v>
      </c>
      <c r="AA73" s="70">
        <f t="shared" si="13"/>
        <v>0</v>
      </c>
      <c r="AB73" s="70">
        <f t="shared" si="14"/>
        <v>60</v>
      </c>
      <c r="AC73" s="70">
        <f t="shared" si="71"/>
        <v>0</v>
      </c>
      <c r="AD73" s="70">
        <f t="shared" si="72"/>
        <v>60</v>
      </c>
      <c r="AE73" s="70">
        <f t="shared" si="73"/>
        <v>60</v>
      </c>
      <c r="AF73" s="70">
        <f t="shared" si="74"/>
        <v>240</v>
      </c>
    </row>
    <row r="74" spans="1:32" s="69" customFormat="1" x14ac:dyDescent="0.3">
      <c r="A74" s="64" t="s">
        <v>36</v>
      </c>
      <c r="B74" s="65" t="s">
        <v>203</v>
      </c>
      <c r="C74" s="65" t="s">
        <v>22</v>
      </c>
      <c r="D74" s="65" t="s">
        <v>200</v>
      </c>
      <c r="E74" s="66">
        <v>5</v>
      </c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>
        <f t="shared" si="84"/>
        <v>0</v>
      </c>
      <c r="Q74" s="66">
        <f t="shared" si="85"/>
        <v>5</v>
      </c>
      <c r="R74" s="67">
        <v>40</v>
      </c>
      <c r="S74" s="68">
        <f t="shared" si="86"/>
        <v>200</v>
      </c>
      <c r="U74" s="66"/>
      <c r="V74" s="69">
        <f t="shared" si="87"/>
        <v>5</v>
      </c>
      <c r="W74" s="70">
        <f t="shared" si="88"/>
        <v>0</v>
      </c>
      <c r="X74" s="70">
        <f t="shared" si="69"/>
        <v>0</v>
      </c>
      <c r="Y74" s="70">
        <f t="shared" si="70"/>
        <v>0</v>
      </c>
      <c r="Z74" s="70">
        <f t="shared" si="12"/>
        <v>0</v>
      </c>
      <c r="AA74" s="70">
        <f t="shared" si="13"/>
        <v>0</v>
      </c>
      <c r="AB74" s="70">
        <f t="shared" si="14"/>
        <v>0</v>
      </c>
      <c r="AC74" s="70">
        <f t="shared" si="71"/>
        <v>0</v>
      </c>
      <c r="AD74" s="70">
        <f t="shared" si="72"/>
        <v>0</v>
      </c>
      <c r="AE74" s="70">
        <f t="shared" si="73"/>
        <v>0</v>
      </c>
      <c r="AF74" s="70">
        <f t="shared" si="74"/>
        <v>0</v>
      </c>
    </row>
    <row r="75" spans="1:32" s="69" customFormat="1" x14ac:dyDescent="0.3">
      <c r="A75" s="64" t="s">
        <v>36</v>
      </c>
      <c r="B75" s="65" t="s">
        <v>204</v>
      </c>
      <c r="C75" s="65" t="s">
        <v>22</v>
      </c>
      <c r="D75" s="65" t="s">
        <v>201</v>
      </c>
      <c r="E75" s="66">
        <v>0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>
        <f t="shared" si="84"/>
        <v>0</v>
      </c>
      <c r="Q75" s="66">
        <f t="shared" si="85"/>
        <v>0</v>
      </c>
      <c r="R75" s="67">
        <v>30</v>
      </c>
      <c r="S75" s="68">
        <f t="shared" si="86"/>
        <v>0</v>
      </c>
      <c r="U75" s="66"/>
      <c r="V75" s="69">
        <f t="shared" si="87"/>
        <v>0</v>
      </c>
      <c r="W75" s="70">
        <f t="shared" si="88"/>
        <v>0</v>
      </c>
      <c r="X75" s="70">
        <f t="shared" si="69"/>
        <v>0</v>
      </c>
      <c r="Y75" s="70">
        <f t="shared" si="70"/>
        <v>0</v>
      </c>
      <c r="Z75" s="70">
        <f t="shared" si="12"/>
        <v>0</v>
      </c>
      <c r="AA75" s="70">
        <f t="shared" si="13"/>
        <v>0</v>
      </c>
      <c r="AB75" s="70">
        <f t="shared" si="14"/>
        <v>0</v>
      </c>
      <c r="AC75" s="70">
        <f t="shared" si="71"/>
        <v>0</v>
      </c>
      <c r="AD75" s="70">
        <f t="shared" si="72"/>
        <v>0</v>
      </c>
      <c r="AE75" s="70">
        <f t="shared" si="73"/>
        <v>0</v>
      </c>
      <c r="AF75" s="70">
        <f t="shared" si="74"/>
        <v>0</v>
      </c>
    </row>
    <row r="76" spans="1:32" s="69" customFormat="1" x14ac:dyDescent="0.3">
      <c r="A76" s="64" t="s">
        <v>36</v>
      </c>
      <c r="B76" s="65" t="s">
        <v>205</v>
      </c>
      <c r="C76" s="65" t="s">
        <v>22</v>
      </c>
      <c r="D76" s="65" t="s">
        <v>202</v>
      </c>
      <c r="E76" s="66">
        <v>0</v>
      </c>
      <c r="F76" s="66">
        <v>5</v>
      </c>
      <c r="G76" s="66"/>
      <c r="H76" s="66"/>
      <c r="I76" s="66"/>
      <c r="J76" s="66"/>
      <c r="K76" s="66"/>
      <c r="L76" s="66"/>
      <c r="M76" s="66"/>
      <c r="N76" s="66"/>
      <c r="O76" s="66"/>
      <c r="P76" s="66">
        <f t="shared" si="84"/>
        <v>0</v>
      </c>
      <c r="Q76" s="66">
        <f t="shared" si="85"/>
        <v>5</v>
      </c>
      <c r="R76" s="67">
        <v>85</v>
      </c>
      <c r="S76" s="68">
        <f t="shared" si="86"/>
        <v>425</v>
      </c>
      <c r="U76" s="66"/>
      <c r="V76" s="69">
        <f t="shared" si="87"/>
        <v>5</v>
      </c>
      <c r="W76" s="70">
        <f t="shared" si="88"/>
        <v>0</v>
      </c>
      <c r="X76" s="70">
        <f t="shared" si="69"/>
        <v>0</v>
      </c>
      <c r="Y76" s="70">
        <f t="shared" si="70"/>
        <v>0</v>
      </c>
      <c r="Z76" s="70">
        <f t="shared" si="12"/>
        <v>0</v>
      </c>
      <c r="AA76" s="70">
        <f t="shared" si="13"/>
        <v>0</v>
      </c>
      <c r="AB76" s="70">
        <f t="shared" si="14"/>
        <v>0</v>
      </c>
      <c r="AC76" s="70">
        <f t="shared" si="71"/>
        <v>0</v>
      </c>
      <c r="AD76" s="70">
        <f t="shared" si="72"/>
        <v>0</v>
      </c>
      <c r="AE76" s="70">
        <f t="shared" si="73"/>
        <v>0</v>
      </c>
      <c r="AF76" s="70">
        <f t="shared" si="74"/>
        <v>0</v>
      </c>
    </row>
    <row r="77" spans="1:32" s="76" customFormat="1" x14ac:dyDescent="0.3">
      <c r="A77" s="71" t="s">
        <v>36</v>
      </c>
      <c r="B77" s="72" t="s">
        <v>73</v>
      </c>
      <c r="C77" s="50" t="s">
        <v>370</v>
      </c>
      <c r="D77" s="72" t="s">
        <v>220</v>
      </c>
      <c r="E77" s="73">
        <v>75</v>
      </c>
      <c r="F77" s="73"/>
      <c r="G77" s="73">
        <v>2</v>
      </c>
      <c r="H77" s="73"/>
      <c r="I77" s="73">
        <v>2</v>
      </c>
      <c r="J77" s="73"/>
      <c r="K77" s="73">
        <v>2</v>
      </c>
      <c r="L77" s="73"/>
      <c r="M77" s="73">
        <v>2</v>
      </c>
      <c r="N77" s="73"/>
      <c r="O77" s="73"/>
      <c r="P77" s="73">
        <f t="shared" si="0"/>
        <v>8</v>
      </c>
      <c r="Q77" s="73">
        <f t="shared" si="1"/>
        <v>67</v>
      </c>
      <c r="R77" s="74">
        <v>6</v>
      </c>
      <c r="S77" s="75">
        <f t="shared" si="10"/>
        <v>402</v>
      </c>
      <c r="V77" s="76">
        <f t="shared" si="11"/>
        <v>67</v>
      </c>
      <c r="W77" s="77">
        <f t="shared" si="68"/>
        <v>12</v>
      </c>
      <c r="X77" s="77">
        <f t="shared" si="69"/>
        <v>0</v>
      </c>
      <c r="Y77" s="77">
        <f t="shared" si="70"/>
        <v>12</v>
      </c>
      <c r="Z77" s="77">
        <f t="shared" si="12"/>
        <v>0</v>
      </c>
      <c r="AA77" s="77">
        <f t="shared" si="13"/>
        <v>12</v>
      </c>
      <c r="AB77" s="77">
        <f t="shared" si="14"/>
        <v>0</v>
      </c>
      <c r="AC77" s="77">
        <f t="shared" si="71"/>
        <v>12</v>
      </c>
      <c r="AD77" s="77">
        <f t="shared" si="72"/>
        <v>0</v>
      </c>
      <c r="AE77" s="77">
        <f t="shared" si="73"/>
        <v>0</v>
      </c>
      <c r="AF77" s="77">
        <f t="shared" si="74"/>
        <v>48</v>
      </c>
    </row>
    <row r="78" spans="1:32" s="76" customFormat="1" x14ac:dyDescent="0.3">
      <c r="A78" s="71" t="s">
        <v>36</v>
      </c>
      <c r="B78" s="72" t="s">
        <v>206</v>
      </c>
      <c r="C78" s="50" t="s">
        <v>370</v>
      </c>
      <c r="D78" s="72" t="s">
        <v>221</v>
      </c>
      <c r="E78" s="73">
        <v>14</v>
      </c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>
        <f t="shared" si="0"/>
        <v>0</v>
      </c>
      <c r="Q78" s="73">
        <f t="shared" si="1"/>
        <v>14</v>
      </c>
      <c r="R78" s="74">
        <v>5</v>
      </c>
      <c r="S78" s="75">
        <f t="shared" si="10"/>
        <v>70</v>
      </c>
      <c r="V78" s="76">
        <f t="shared" si="11"/>
        <v>14</v>
      </c>
      <c r="W78" s="77">
        <f t="shared" si="68"/>
        <v>0</v>
      </c>
      <c r="X78" s="77">
        <f t="shared" si="69"/>
        <v>0</v>
      </c>
      <c r="Y78" s="77">
        <f t="shared" si="70"/>
        <v>0</v>
      </c>
      <c r="Z78" s="77">
        <f t="shared" si="12"/>
        <v>0</v>
      </c>
      <c r="AA78" s="77">
        <f t="shared" si="13"/>
        <v>0</v>
      </c>
      <c r="AB78" s="77">
        <f t="shared" si="14"/>
        <v>0</v>
      </c>
      <c r="AC78" s="77">
        <f t="shared" si="71"/>
        <v>0</v>
      </c>
      <c r="AD78" s="77">
        <f t="shared" si="72"/>
        <v>0</v>
      </c>
      <c r="AE78" s="77">
        <f t="shared" si="73"/>
        <v>0</v>
      </c>
      <c r="AF78" s="77">
        <f t="shared" si="74"/>
        <v>0</v>
      </c>
    </row>
    <row r="79" spans="1:32" s="76" customFormat="1" x14ac:dyDescent="0.3">
      <c r="A79" s="71" t="s">
        <v>36</v>
      </c>
      <c r="B79" s="72" t="s">
        <v>207</v>
      </c>
      <c r="C79" s="50" t="s">
        <v>370</v>
      </c>
      <c r="D79" s="72" t="s">
        <v>222</v>
      </c>
      <c r="E79" s="73">
        <v>0</v>
      </c>
      <c r="F79" s="73">
        <v>100</v>
      </c>
      <c r="G79" s="73">
        <v>12</v>
      </c>
      <c r="H79" s="73">
        <v>4</v>
      </c>
      <c r="I79" s="73"/>
      <c r="J79" s="73"/>
      <c r="K79" s="73">
        <v>1</v>
      </c>
      <c r="L79" s="73"/>
      <c r="M79" s="73"/>
      <c r="N79" s="73"/>
      <c r="O79" s="73"/>
      <c r="P79" s="73">
        <f t="shared" si="0"/>
        <v>17</v>
      </c>
      <c r="Q79" s="73">
        <f t="shared" si="1"/>
        <v>83</v>
      </c>
      <c r="R79" s="74">
        <v>25</v>
      </c>
      <c r="S79" s="75">
        <f t="shared" si="10"/>
        <v>2075</v>
      </c>
      <c r="V79" s="76">
        <f t="shared" si="11"/>
        <v>83</v>
      </c>
      <c r="W79" s="77">
        <f t="shared" si="68"/>
        <v>300</v>
      </c>
      <c r="X79" s="77">
        <f t="shared" si="69"/>
        <v>100</v>
      </c>
      <c r="Y79" s="77">
        <f t="shared" si="70"/>
        <v>0</v>
      </c>
      <c r="Z79" s="77">
        <f t="shared" si="12"/>
        <v>0</v>
      </c>
      <c r="AA79" s="77">
        <f t="shared" si="13"/>
        <v>25</v>
      </c>
      <c r="AB79" s="77">
        <f t="shared" si="14"/>
        <v>0</v>
      </c>
      <c r="AC79" s="77">
        <f t="shared" si="71"/>
        <v>0</v>
      </c>
      <c r="AD79" s="77">
        <f t="shared" si="72"/>
        <v>0</v>
      </c>
      <c r="AE79" s="77">
        <f t="shared" si="73"/>
        <v>0</v>
      </c>
      <c r="AF79" s="77">
        <f t="shared" si="74"/>
        <v>425</v>
      </c>
    </row>
    <row r="80" spans="1:32" s="76" customFormat="1" x14ac:dyDescent="0.3">
      <c r="A80" s="71" t="s">
        <v>36</v>
      </c>
      <c r="B80" s="72" t="s">
        <v>208</v>
      </c>
      <c r="C80" s="72" t="s">
        <v>18</v>
      </c>
      <c r="D80" s="72" t="s">
        <v>223</v>
      </c>
      <c r="E80" s="73">
        <v>1</v>
      </c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>
        <f t="shared" si="0"/>
        <v>0</v>
      </c>
      <c r="Q80" s="73">
        <f t="shared" si="1"/>
        <v>1</v>
      </c>
      <c r="R80" s="74">
        <v>190</v>
      </c>
      <c r="S80" s="75">
        <f t="shared" si="10"/>
        <v>190</v>
      </c>
      <c r="U80" s="76">
        <v>1</v>
      </c>
      <c r="V80" s="76">
        <f t="shared" si="11"/>
        <v>2</v>
      </c>
      <c r="W80" s="77">
        <f t="shared" si="68"/>
        <v>0</v>
      </c>
      <c r="X80" s="77">
        <f t="shared" si="69"/>
        <v>0</v>
      </c>
      <c r="Y80" s="77">
        <f t="shared" si="70"/>
        <v>0</v>
      </c>
      <c r="Z80" s="77">
        <f t="shared" si="12"/>
        <v>0</v>
      </c>
      <c r="AA80" s="77">
        <f t="shared" si="13"/>
        <v>0</v>
      </c>
      <c r="AB80" s="77">
        <f t="shared" si="14"/>
        <v>0</v>
      </c>
      <c r="AC80" s="77">
        <f t="shared" si="71"/>
        <v>0</v>
      </c>
      <c r="AD80" s="77">
        <f t="shared" si="72"/>
        <v>0</v>
      </c>
      <c r="AE80" s="77">
        <f t="shared" si="73"/>
        <v>0</v>
      </c>
      <c r="AF80" s="77">
        <f t="shared" si="74"/>
        <v>0</v>
      </c>
    </row>
    <row r="81" spans="1:32" s="76" customFormat="1" x14ac:dyDescent="0.3">
      <c r="A81" s="71" t="s">
        <v>36</v>
      </c>
      <c r="B81" s="72" t="s">
        <v>209</v>
      </c>
      <c r="C81" s="72" t="s">
        <v>18</v>
      </c>
      <c r="D81" s="72" t="s">
        <v>224</v>
      </c>
      <c r="E81" s="73">
        <v>0</v>
      </c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>
        <f t="shared" si="0"/>
        <v>0</v>
      </c>
      <c r="Q81" s="73">
        <f t="shared" si="1"/>
        <v>0</v>
      </c>
      <c r="R81" s="74">
        <v>178</v>
      </c>
      <c r="S81" s="75">
        <f t="shared" si="10"/>
        <v>0</v>
      </c>
      <c r="U81" s="76">
        <v>0</v>
      </c>
      <c r="V81" s="76">
        <f t="shared" si="11"/>
        <v>0</v>
      </c>
      <c r="W81" s="77">
        <f t="shared" si="68"/>
        <v>0</v>
      </c>
      <c r="X81" s="77">
        <f t="shared" si="69"/>
        <v>0</v>
      </c>
      <c r="Y81" s="77">
        <f t="shared" si="70"/>
        <v>0</v>
      </c>
      <c r="Z81" s="77">
        <f t="shared" si="12"/>
        <v>0</v>
      </c>
      <c r="AA81" s="77">
        <f t="shared" si="13"/>
        <v>0</v>
      </c>
      <c r="AB81" s="77">
        <f t="shared" si="14"/>
        <v>0</v>
      </c>
      <c r="AC81" s="77">
        <f t="shared" si="71"/>
        <v>0</v>
      </c>
      <c r="AD81" s="77">
        <f t="shared" si="72"/>
        <v>0</v>
      </c>
      <c r="AE81" s="77">
        <f t="shared" si="73"/>
        <v>0</v>
      </c>
      <c r="AF81" s="77">
        <f t="shared" si="74"/>
        <v>0</v>
      </c>
    </row>
    <row r="82" spans="1:32" s="76" customFormat="1" x14ac:dyDescent="0.3">
      <c r="A82" s="71" t="s">
        <v>36</v>
      </c>
      <c r="B82" s="72" t="s">
        <v>210</v>
      </c>
      <c r="C82" s="50" t="s">
        <v>370</v>
      </c>
      <c r="D82" s="72" t="s">
        <v>226</v>
      </c>
      <c r="E82" s="73">
        <v>12</v>
      </c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>
        <f t="shared" si="0"/>
        <v>0</v>
      </c>
      <c r="Q82" s="73">
        <f t="shared" si="1"/>
        <v>12</v>
      </c>
      <c r="R82" s="74">
        <v>50</v>
      </c>
      <c r="S82" s="75">
        <f t="shared" si="10"/>
        <v>600</v>
      </c>
      <c r="U82" s="76">
        <v>5</v>
      </c>
      <c r="V82" s="76">
        <f t="shared" si="11"/>
        <v>17</v>
      </c>
      <c r="W82" s="77">
        <f t="shared" si="68"/>
        <v>0</v>
      </c>
      <c r="X82" s="77">
        <f t="shared" si="69"/>
        <v>0</v>
      </c>
      <c r="Y82" s="77">
        <f t="shared" si="70"/>
        <v>0</v>
      </c>
      <c r="Z82" s="77">
        <f t="shared" si="12"/>
        <v>0</v>
      </c>
      <c r="AA82" s="77">
        <f t="shared" si="13"/>
        <v>0</v>
      </c>
      <c r="AB82" s="77">
        <f t="shared" si="14"/>
        <v>0</v>
      </c>
      <c r="AC82" s="77">
        <f t="shared" si="71"/>
        <v>0</v>
      </c>
      <c r="AD82" s="77">
        <f t="shared" si="72"/>
        <v>0</v>
      </c>
      <c r="AE82" s="77">
        <f t="shared" si="73"/>
        <v>0</v>
      </c>
      <c r="AF82" s="77">
        <f t="shared" si="74"/>
        <v>0</v>
      </c>
    </row>
    <row r="83" spans="1:32" s="76" customFormat="1" x14ac:dyDescent="0.3">
      <c r="A83" s="71" t="s">
        <v>36</v>
      </c>
      <c r="B83" s="72" t="s">
        <v>211</v>
      </c>
      <c r="C83" s="50" t="s">
        <v>370</v>
      </c>
      <c r="D83" s="72" t="s">
        <v>225</v>
      </c>
      <c r="E83" s="73">
        <v>0</v>
      </c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>
        <f t="shared" si="0"/>
        <v>0</v>
      </c>
      <c r="Q83" s="73">
        <f t="shared" si="1"/>
        <v>0</v>
      </c>
      <c r="R83" s="74">
        <v>50</v>
      </c>
      <c r="S83" s="75">
        <f t="shared" si="10"/>
        <v>0</v>
      </c>
      <c r="V83" s="76">
        <f t="shared" si="11"/>
        <v>0</v>
      </c>
      <c r="W83" s="77">
        <f t="shared" si="68"/>
        <v>0</v>
      </c>
      <c r="X83" s="77">
        <f t="shared" si="69"/>
        <v>0</v>
      </c>
      <c r="Y83" s="77">
        <f t="shared" si="70"/>
        <v>0</v>
      </c>
      <c r="Z83" s="77">
        <f t="shared" si="12"/>
        <v>0</v>
      </c>
      <c r="AA83" s="77">
        <f t="shared" si="13"/>
        <v>0</v>
      </c>
      <c r="AB83" s="77">
        <f t="shared" si="14"/>
        <v>0</v>
      </c>
      <c r="AC83" s="77">
        <f t="shared" si="71"/>
        <v>0</v>
      </c>
      <c r="AD83" s="77">
        <f t="shared" si="72"/>
        <v>0</v>
      </c>
      <c r="AE83" s="77">
        <f t="shared" si="73"/>
        <v>0</v>
      </c>
      <c r="AF83" s="77">
        <f t="shared" si="74"/>
        <v>0</v>
      </c>
    </row>
    <row r="84" spans="1:32" s="76" customFormat="1" x14ac:dyDescent="0.3">
      <c r="A84" s="71" t="s">
        <v>36</v>
      </c>
      <c r="B84" s="72" t="s">
        <v>212</v>
      </c>
      <c r="C84" s="50" t="s">
        <v>370</v>
      </c>
      <c r="D84" s="72" t="s">
        <v>227</v>
      </c>
      <c r="E84" s="73">
        <v>30</v>
      </c>
      <c r="F84" s="73"/>
      <c r="G84" s="73">
        <v>1</v>
      </c>
      <c r="H84" s="73">
        <v>1</v>
      </c>
      <c r="I84" s="73">
        <v>1</v>
      </c>
      <c r="J84" s="73"/>
      <c r="K84" s="73"/>
      <c r="L84" s="73"/>
      <c r="M84" s="73"/>
      <c r="N84" s="73"/>
      <c r="O84" s="73"/>
      <c r="P84" s="73">
        <f t="shared" si="0"/>
        <v>3</v>
      </c>
      <c r="Q84" s="73">
        <f t="shared" si="1"/>
        <v>27</v>
      </c>
      <c r="R84" s="74">
        <v>50</v>
      </c>
      <c r="S84" s="75">
        <f t="shared" si="10"/>
        <v>1350</v>
      </c>
      <c r="U84" s="76">
        <v>0</v>
      </c>
      <c r="V84" s="76">
        <f t="shared" si="11"/>
        <v>27</v>
      </c>
      <c r="W84" s="77">
        <f t="shared" si="68"/>
        <v>50</v>
      </c>
      <c r="X84" s="77">
        <f t="shared" si="69"/>
        <v>50</v>
      </c>
      <c r="Y84" s="77">
        <f t="shared" si="70"/>
        <v>50</v>
      </c>
      <c r="Z84" s="77">
        <f t="shared" si="12"/>
        <v>0</v>
      </c>
      <c r="AA84" s="77">
        <f t="shared" si="13"/>
        <v>0</v>
      </c>
      <c r="AB84" s="77">
        <f t="shared" si="14"/>
        <v>0</v>
      </c>
      <c r="AC84" s="77">
        <f t="shared" si="71"/>
        <v>0</v>
      </c>
      <c r="AD84" s="77">
        <f t="shared" si="72"/>
        <v>0</v>
      </c>
      <c r="AE84" s="77">
        <f t="shared" si="73"/>
        <v>0</v>
      </c>
      <c r="AF84" s="77">
        <f t="shared" si="74"/>
        <v>150</v>
      </c>
    </row>
    <row r="85" spans="1:32" s="76" customFormat="1" x14ac:dyDescent="0.3">
      <c r="A85" s="71" t="s">
        <v>36</v>
      </c>
      <c r="B85" s="72" t="s">
        <v>74</v>
      </c>
      <c r="C85" s="50" t="s">
        <v>370</v>
      </c>
      <c r="D85" s="72" t="s">
        <v>229</v>
      </c>
      <c r="E85" s="73">
        <v>75</v>
      </c>
      <c r="F85" s="73">
        <v>300</v>
      </c>
      <c r="G85" s="73">
        <v>15</v>
      </c>
      <c r="H85" s="73">
        <v>11</v>
      </c>
      <c r="I85" s="73">
        <v>3</v>
      </c>
      <c r="J85" s="73">
        <v>15</v>
      </c>
      <c r="K85" s="73">
        <v>3</v>
      </c>
      <c r="L85" s="73">
        <v>20</v>
      </c>
      <c r="M85" s="73">
        <v>11</v>
      </c>
      <c r="N85" s="73"/>
      <c r="O85" s="73">
        <v>16</v>
      </c>
      <c r="P85" s="73">
        <f t="shared" si="0"/>
        <v>94</v>
      </c>
      <c r="Q85" s="73">
        <f t="shared" si="1"/>
        <v>281</v>
      </c>
      <c r="R85" s="74">
        <v>10</v>
      </c>
      <c r="S85" s="75">
        <f t="shared" si="10"/>
        <v>2810</v>
      </c>
      <c r="U85" s="73">
        <v>80</v>
      </c>
      <c r="V85" s="76">
        <f t="shared" si="11"/>
        <v>361</v>
      </c>
      <c r="W85" s="77">
        <f t="shared" si="68"/>
        <v>150</v>
      </c>
      <c r="X85" s="77">
        <f t="shared" si="69"/>
        <v>110</v>
      </c>
      <c r="Y85" s="77">
        <f t="shared" si="70"/>
        <v>30</v>
      </c>
      <c r="Z85" s="77">
        <f t="shared" si="12"/>
        <v>150</v>
      </c>
      <c r="AA85" s="77">
        <f t="shared" si="13"/>
        <v>30</v>
      </c>
      <c r="AB85" s="77">
        <f t="shared" si="14"/>
        <v>200</v>
      </c>
      <c r="AC85" s="77">
        <f t="shared" si="71"/>
        <v>110</v>
      </c>
      <c r="AD85" s="77">
        <f t="shared" si="72"/>
        <v>0</v>
      </c>
      <c r="AE85" s="77">
        <f t="shared" si="73"/>
        <v>160</v>
      </c>
      <c r="AF85" s="77">
        <f t="shared" si="74"/>
        <v>940</v>
      </c>
    </row>
    <row r="86" spans="1:32" s="76" customFormat="1" x14ac:dyDescent="0.3">
      <c r="A86" s="71" t="s">
        <v>36</v>
      </c>
      <c r="B86" s="72" t="s">
        <v>75</v>
      </c>
      <c r="C86" s="50" t="s">
        <v>370</v>
      </c>
      <c r="D86" s="72" t="s">
        <v>231</v>
      </c>
      <c r="E86" s="73">
        <v>100</v>
      </c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>
        <f t="shared" si="0"/>
        <v>0</v>
      </c>
      <c r="Q86" s="73">
        <f t="shared" si="1"/>
        <v>100</v>
      </c>
      <c r="R86" s="74">
        <v>9</v>
      </c>
      <c r="S86" s="75">
        <f t="shared" si="10"/>
        <v>900</v>
      </c>
      <c r="U86" s="73">
        <v>490</v>
      </c>
      <c r="V86" s="76">
        <f t="shared" si="11"/>
        <v>590</v>
      </c>
      <c r="W86" s="77">
        <f t="shared" si="68"/>
        <v>0</v>
      </c>
      <c r="X86" s="77">
        <f t="shared" si="69"/>
        <v>0</v>
      </c>
      <c r="Y86" s="77">
        <f t="shared" si="70"/>
        <v>0</v>
      </c>
      <c r="Z86" s="77">
        <f t="shared" si="12"/>
        <v>0</v>
      </c>
      <c r="AA86" s="77">
        <f t="shared" si="13"/>
        <v>0</v>
      </c>
      <c r="AB86" s="77">
        <f t="shared" si="14"/>
        <v>0</v>
      </c>
      <c r="AC86" s="77">
        <f t="shared" si="71"/>
        <v>0</v>
      </c>
      <c r="AD86" s="77">
        <f t="shared" si="72"/>
        <v>0</v>
      </c>
      <c r="AE86" s="77">
        <f t="shared" si="73"/>
        <v>0</v>
      </c>
      <c r="AF86" s="77">
        <f t="shared" si="74"/>
        <v>0</v>
      </c>
    </row>
    <row r="87" spans="1:32" s="76" customFormat="1" x14ac:dyDescent="0.3">
      <c r="A87" s="71" t="s">
        <v>36</v>
      </c>
      <c r="B87" s="72" t="s">
        <v>213</v>
      </c>
      <c r="C87" s="50" t="s">
        <v>370</v>
      </c>
      <c r="D87" s="72" t="s">
        <v>230</v>
      </c>
      <c r="E87" s="73">
        <v>36</v>
      </c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>
        <f t="shared" si="0"/>
        <v>0</v>
      </c>
      <c r="Q87" s="73">
        <f t="shared" si="1"/>
        <v>36</v>
      </c>
      <c r="R87" s="74">
        <v>11</v>
      </c>
      <c r="S87" s="75">
        <f t="shared" si="10"/>
        <v>396</v>
      </c>
      <c r="U87" s="73">
        <v>120</v>
      </c>
      <c r="V87" s="76">
        <f t="shared" si="11"/>
        <v>156</v>
      </c>
      <c r="W87" s="77">
        <f t="shared" si="68"/>
        <v>0</v>
      </c>
      <c r="X87" s="77">
        <f t="shared" si="69"/>
        <v>0</v>
      </c>
      <c r="Y87" s="77">
        <f t="shared" si="70"/>
        <v>0</v>
      </c>
      <c r="Z87" s="77">
        <f t="shared" si="12"/>
        <v>0</v>
      </c>
      <c r="AA87" s="77">
        <f t="shared" si="13"/>
        <v>0</v>
      </c>
      <c r="AB87" s="77">
        <f t="shared" si="14"/>
        <v>0</v>
      </c>
      <c r="AC87" s="77">
        <f t="shared" si="71"/>
        <v>0</v>
      </c>
      <c r="AD87" s="77">
        <f t="shared" si="72"/>
        <v>0</v>
      </c>
      <c r="AE87" s="77">
        <f t="shared" si="73"/>
        <v>0</v>
      </c>
      <c r="AF87" s="77">
        <f t="shared" si="74"/>
        <v>0</v>
      </c>
    </row>
    <row r="88" spans="1:32" s="76" customFormat="1" x14ac:dyDescent="0.3">
      <c r="A88" s="71" t="s">
        <v>36</v>
      </c>
      <c r="B88" s="72" t="s">
        <v>214</v>
      </c>
      <c r="C88" s="50" t="s">
        <v>370</v>
      </c>
      <c r="D88" s="72" t="s">
        <v>232</v>
      </c>
      <c r="E88" s="73">
        <v>43</v>
      </c>
      <c r="F88" s="73"/>
      <c r="G88" s="73"/>
      <c r="H88" s="73"/>
      <c r="I88" s="73">
        <v>1</v>
      </c>
      <c r="J88" s="73"/>
      <c r="K88" s="73"/>
      <c r="L88" s="73"/>
      <c r="M88" s="73"/>
      <c r="N88" s="73"/>
      <c r="O88" s="73"/>
      <c r="P88" s="73">
        <f t="shared" si="0"/>
        <v>1</v>
      </c>
      <c r="Q88" s="73">
        <f t="shared" si="1"/>
        <v>42</v>
      </c>
      <c r="R88" s="74">
        <v>11</v>
      </c>
      <c r="S88" s="75">
        <f t="shared" si="10"/>
        <v>462</v>
      </c>
      <c r="U88" s="73">
        <v>29</v>
      </c>
      <c r="V88" s="76">
        <f t="shared" si="11"/>
        <v>71</v>
      </c>
      <c r="W88" s="77">
        <f t="shared" si="68"/>
        <v>0</v>
      </c>
      <c r="X88" s="77">
        <f t="shared" si="69"/>
        <v>0</v>
      </c>
      <c r="Y88" s="77">
        <f t="shared" si="70"/>
        <v>11</v>
      </c>
      <c r="Z88" s="77">
        <f t="shared" si="12"/>
        <v>0</v>
      </c>
      <c r="AA88" s="77">
        <f t="shared" si="13"/>
        <v>0</v>
      </c>
      <c r="AB88" s="77">
        <f t="shared" si="14"/>
        <v>0</v>
      </c>
      <c r="AC88" s="77">
        <f t="shared" si="71"/>
        <v>0</v>
      </c>
      <c r="AD88" s="77">
        <f t="shared" si="72"/>
        <v>0</v>
      </c>
      <c r="AE88" s="77">
        <f t="shared" si="73"/>
        <v>0</v>
      </c>
      <c r="AF88" s="77">
        <f t="shared" si="74"/>
        <v>11</v>
      </c>
    </row>
    <row r="89" spans="1:32" s="76" customFormat="1" x14ac:dyDescent="0.3">
      <c r="A89" s="71" t="s">
        <v>36</v>
      </c>
      <c r="B89" s="72" t="s">
        <v>215</v>
      </c>
      <c r="C89" s="50" t="s">
        <v>370</v>
      </c>
      <c r="D89" s="72" t="s">
        <v>228</v>
      </c>
      <c r="E89" s="73">
        <v>0</v>
      </c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>
        <f t="shared" si="0"/>
        <v>0</v>
      </c>
      <c r="Q89" s="73">
        <f t="shared" si="1"/>
        <v>0</v>
      </c>
      <c r="R89" s="74">
        <v>11</v>
      </c>
      <c r="S89" s="75">
        <f t="shared" si="10"/>
        <v>0</v>
      </c>
      <c r="U89" s="73">
        <v>0</v>
      </c>
      <c r="V89" s="76">
        <f t="shared" si="11"/>
        <v>0</v>
      </c>
      <c r="W89" s="77">
        <f t="shared" si="68"/>
        <v>0</v>
      </c>
      <c r="X89" s="77">
        <f t="shared" si="69"/>
        <v>0</v>
      </c>
      <c r="Y89" s="77">
        <f t="shared" si="70"/>
        <v>0</v>
      </c>
      <c r="Z89" s="77">
        <f t="shared" si="12"/>
        <v>0</v>
      </c>
      <c r="AA89" s="77">
        <f t="shared" si="13"/>
        <v>0</v>
      </c>
      <c r="AB89" s="77">
        <f t="shared" si="14"/>
        <v>0</v>
      </c>
      <c r="AC89" s="77">
        <f t="shared" si="71"/>
        <v>0</v>
      </c>
      <c r="AD89" s="77">
        <f t="shared" si="72"/>
        <v>0</v>
      </c>
      <c r="AE89" s="77">
        <f t="shared" si="73"/>
        <v>0</v>
      </c>
      <c r="AF89" s="77">
        <f t="shared" si="74"/>
        <v>0</v>
      </c>
    </row>
    <row r="90" spans="1:32" s="76" customFormat="1" x14ac:dyDescent="0.3">
      <c r="A90" s="71" t="s">
        <v>36</v>
      </c>
      <c r="B90" s="72" t="s">
        <v>216</v>
      </c>
      <c r="C90" s="50" t="s">
        <v>370</v>
      </c>
      <c r="D90" s="72" t="s">
        <v>233</v>
      </c>
      <c r="E90" s="73">
        <v>0</v>
      </c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>
        <f t="shared" si="0"/>
        <v>0</v>
      </c>
      <c r="Q90" s="73">
        <f t="shared" si="1"/>
        <v>0</v>
      </c>
      <c r="R90" s="74">
        <v>11</v>
      </c>
      <c r="S90" s="75">
        <f t="shared" si="10"/>
        <v>0</v>
      </c>
      <c r="U90" s="73">
        <v>0</v>
      </c>
      <c r="V90" s="76">
        <f t="shared" si="11"/>
        <v>0</v>
      </c>
      <c r="W90" s="77">
        <f t="shared" si="68"/>
        <v>0</v>
      </c>
      <c r="X90" s="77">
        <f t="shared" si="69"/>
        <v>0</v>
      </c>
      <c r="Y90" s="77">
        <f t="shared" si="70"/>
        <v>0</v>
      </c>
      <c r="Z90" s="77">
        <f t="shared" si="12"/>
        <v>0</v>
      </c>
      <c r="AA90" s="77">
        <f t="shared" si="13"/>
        <v>0</v>
      </c>
      <c r="AB90" s="77">
        <f t="shared" si="14"/>
        <v>0</v>
      </c>
      <c r="AC90" s="77">
        <f t="shared" si="71"/>
        <v>0</v>
      </c>
      <c r="AD90" s="77">
        <f t="shared" si="72"/>
        <v>0</v>
      </c>
      <c r="AE90" s="77">
        <f t="shared" si="73"/>
        <v>0</v>
      </c>
      <c r="AF90" s="77">
        <f t="shared" si="74"/>
        <v>0</v>
      </c>
    </row>
    <row r="91" spans="1:32" s="76" customFormat="1" x14ac:dyDescent="0.3">
      <c r="A91" s="71" t="s">
        <v>36</v>
      </c>
      <c r="B91" s="72" t="s">
        <v>217</v>
      </c>
      <c r="C91" s="50" t="s">
        <v>370</v>
      </c>
      <c r="D91" s="72" t="s">
        <v>234</v>
      </c>
      <c r="E91" s="73">
        <v>40</v>
      </c>
      <c r="F91" s="73"/>
      <c r="G91" s="73"/>
      <c r="H91" s="73">
        <v>6</v>
      </c>
      <c r="I91" s="73"/>
      <c r="J91" s="73"/>
      <c r="K91" s="73"/>
      <c r="L91" s="73"/>
      <c r="M91" s="73"/>
      <c r="N91" s="73">
        <v>7</v>
      </c>
      <c r="O91" s="73"/>
      <c r="P91" s="73">
        <f t="shared" si="0"/>
        <v>13</v>
      </c>
      <c r="Q91" s="73">
        <f t="shared" si="1"/>
        <v>27</v>
      </c>
      <c r="R91" s="74">
        <v>20</v>
      </c>
      <c r="S91" s="75">
        <f t="shared" si="10"/>
        <v>540</v>
      </c>
      <c r="U91" s="73">
        <v>40</v>
      </c>
      <c r="V91" s="76">
        <f t="shared" si="11"/>
        <v>67</v>
      </c>
      <c r="W91" s="77">
        <f t="shared" si="68"/>
        <v>0</v>
      </c>
      <c r="X91" s="77">
        <f t="shared" si="69"/>
        <v>120</v>
      </c>
      <c r="Y91" s="77">
        <f t="shared" si="70"/>
        <v>0</v>
      </c>
      <c r="Z91" s="77">
        <f t="shared" si="12"/>
        <v>0</v>
      </c>
      <c r="AA91" s="77">
        <f t="shared" si="13"/>
        <v>0</v>
      </c>
      <c r="AB91" s="77">
        <f t="shared" si="14"/>
        <v>0</v>
      </c>
      <c r="AC91" s="77">
        <f t="shared" si="71"/>
        <v>0</v>
      </c>
      <c r="AD91" s="77">
        <f t="shared" si="72"/>
        <v>140</v>
      </c>
      <c r="AE91" s="77">
        <f t="shared" si="73"/>
        <v>0</v>
      </c>
      <c r="AF91" s="77">
        <f t="shared" si="74"/>
        <v>260</v>
      </c>
    </row>
    <row r="92" spans="1:32" s="76" customFormat="1" x14ac:dyDescent="0.3">
      <c r="A92" s="71" t="s">
        <v>36</v>
      </c>
      <c r="B92" s="72" t="s">
        <v>218</v>
      </c>
      <c r="C92" s="50" t="s">
        <v>370</v>
      </c>
      <c r="D92" s="72" t="s">
        <v>235</v>
      </c>
      <c r="E92" s="73">
        <v>25</v>
      </c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>
        <f t="shared" si="0"/>
        <v>0</v>
      </c>
      <c r="Q92" s="73">
        <f t="shared" si="1"/>
        <v>25</v>
      </c>
      <c r="R92" s="74">
        <v>20</v>
      </c>
      <c r="S92" s="75">
        <f t="shared" si="10"/>
        <v>500</v>
      </c>
      <c r="U92" s="73">
        <v>60</v>
      </c>
      <c r="V92" s="76">
        <f t="shared" si="11"/>
        <v>85</v>
      </c>
      <c r="W92" s="77">
        <f t="shared" si="68"/>
        <v>0</v>
      </c>
      <c r="X92" s="77">
        <f t="shared" si="69"/>
        <v>0</v>
      </c>
      <c r="Y92" s="77">
        <f t="shared" si="70"/>
        <v>0</v>
      </c>
      <c r="Z92" s="77">
        <f t="shared" si="12"/>
        <v>0</v>
      </c>
      <c r="AA92" s="77">
        <f t="shared" si="13"/>
        <v>0</v>
      </c>
      <c r="AB92" s="77">
        <f t="shared" si="14"/>
        <v>0</v>
      </c>
      <c r="AC92" s="77">
        <f t="shared" si="71"/>
        <v>0</v>
      </c>
      <c r="AD92" s="77">
        <f t="shared" si="72"/>
        <v>0</v>
      </c>
      <c r="AE92" s="77">
        <f t="shared" si="73"/>
        <v>0</v>
      </c>
      <c r="AF92" s="77">
        <f t="shared" si="74"/>
        <v>0</v>
      </c>
    </row>
    <row r="93" spans="1:32" s="76" customFormat="1" x14ac:dyDescent="0.3">
      <c r="A93" s="71" t="s">
        <v>36</v>
      </c>
      <c r="B93" s="72" t="s">
        <v>219</v>
      </c>
      <c r="C93" s="50" t="s">
        <v>370</v>
      </c>
      <c r="D93" s="72" t="s">
        <v>236</v>
      </c>
      <c r="E93" s="73">
        <v>15</v>
      </c>
      <c r="F93" s="73"/>
      <c r="G93" s="73"/>
      <c r="H93" s="73"/>
      <c r="I93" s="73"/>
      <c r="J93" s="73"/>
      <c r="K93" s="73"/>
      <c r="L93" s="73">
        <v>2</v>
      </c>
      <c r="M93" s="73"/>
      <c r="N93" s="73"/>
      <c r="O93" s="73"/>
      <c r="P93" s="73">
        <f t="shared" si="0"/>
        <v>2</v>
      </c>
      <c r="Q93" s="73">
        <f t="shared" si="1"/>
        <v>13</v>
      </c>
      <c r="R93" s="74">
        <v>20</v>
      </c>
      <c r="S93" s="75">
        <f t="shared" si="10"/>
        <v>260</v>
      </c>
      <c r="U93" s="73">
        <v>40</v>
      </c>
      <c r="V93" s="76">
        <f t="shared" si="11"/>
        <v>53</v>
      </c>
      <c r="W93" s="77">
        <f t="shared" si="68"/>
        <v>0</v>
      </c>
      <c r="X93" s="77">
        <f t="shared" si="69"/>
        <v>0</v>
      </c>
      <c r="Y93" s="77">
        <f t="shared" si="70"/>
        <v>0</v>
      </c>
      <c r="Z93" s="77">
        <f t="shared" si="12"/>
        <v>0</v>
      </c>
      <c r="AA93" s="77">
        <f t="shared" si="13"/>
        <v>0</v>
      </c>
      <c r="AB93" s="77">
        <f t="shared" si="14"/>
        <v>40</v>
      </c>
      <c r="AC93" s="77">
        <f t="shared" si="71"/>
        <v>0</v>
      </c>
      <c r="AD93" s="77">
        <f t="shared" si="72"/>
        <v>0</v>
      </c>
      <c r="AE93" s="77">
        <f t="shared" si="73"/>
        <v>0</v>
      </c>
      <c r="AF93" s="77">
        <f t="shared" si="74"/>
        <v>40</v>
      </c>
    </row>
    <row r="94" spans="1:32" s="76" customFormat="1" x14ac:dyDescent="0.3">
      <c r="A94" s="71" t="s">
        <v>36</v>
      </c>
      <c r="B94" s="72" t="s">
        <v>76</v>
      </c>
      <c r="C94" s="50" t="s">
        <v>370</v>
      </c>
      <c r="D94" s="72" t="s">
        <v>237</v>
      </c>
      <c r="E94" s="73">
        <v>0</v>
      </c>
      <c r="F94" s="73">
        <v>60</v>
      </c>
      <c r="G94" s="73"/>
      <c r="H94" s="73">
        <v>4</v>
      </c>
      <c r="I94" s="73"/>
      <c r="J94" s="73"/>
      <c r="K94" s="73">
        <v>2</v>
      </c>
      <c r="L94" s="73"/>
      <c r="M94" s="73">
        <v>49</v>
      </c>
      <c r="N94" s="73"/>
      <c r="O94" s="73">
        <v>5</v>
      </c>
      <c r="P94" s="73">
        <f t="shared" ref="P94:P112" si="89">SUM(G94:O94)</f>
        <v>60</v>
      </c>
      <c r="Q94" s="73">
        <f t="shared" ref="Q94:Q112" si="90">E94+F94-P94</f>
        <v>0</v>
      </c>
      <c r="R94" s="74">
        <v>250</v>
      </c>
      <c r="S94" s="75">
        <f t="shared" ref="S94:S116" si="91">Q94*R94</f>
        <v>0</v>
      </c>
      <c r="U94" s="73">
        <v>0</v>
      </c>
      <c r="V94" s="76">
        <f t="shared" ref="V94:V112" si="92">Q94+U94</f>
        <v>0</v>
      </c>
      <c r="W94" s="77">
        <f t="shared" ref="W94:AF109" si="93">G94*$R94</f>
        <v>0</v>
      </c>
      <c r="X94" s="77">
        <f t="shared" si="93"/>
        <v>1000</v>
      </c>
      <c r="Y94" s="77">
        <f t="shared" si="93"/>
        <v>0</v>
      </c>
      <c r="Z94" s="77">
        <f t="shared" si="93"/>
        <v>0</v>
      </c>
      <c r="AA94" s="77">
        <f t="shared" si="93"/>
        <v>500</v>
      </c>
      <c r="AB94" s="77">
        <f t="shared" si="93"/>
        <v>0</v>
      </c>
      <c r="AC94" s="77">
        <f t="shared" si="93"/>
        <v>12250</v>
      </c>
      <c r="AD94" s="77">
        <f t="shared" si="93"/>
        <v>0</v>
      </c>
      <c r="AE94" s="77">
        <f t="shared" si="93"/>
        <v>1250</v>
      </c>
      <c r="AF94" s="77">
        <f t="shared" si="93"/>
        <v>15000</v>
      </c>
    </row>
    <row r="95" spans="1:32" s="76" customFormat="1" x14ac:dyDescent="0.3">
      <c r="A95" s="71" t="s">
        <v>37</v>
      </c>
      <c r="B95" s="72" t="s">
        <v>77</v>
      </c>
      <c r="C95" s="50" t="s">
        <v>370</v>
      </c>
      <c r="D95" s="72" t="s">
        <v>354</v>
      </c>
      <c r="E95" s="73">
        <v>0</v>
      </c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>
        <f t="shared" si="89"/>
        <v>0</v>
      </c>
      <c r="Q95" s="73">
        <f t="shared" si="90"/>
        <v>0</v>
      </c>
      <c r="R95" s="74">
        <v>180</v>
      </c>
      <c r="S95" s="75">
        <f t="shared" si="91"/>
        <v>0</v>
      </c>
      <c r="U95" s="76">
        <v>0</v>
      </c>
      <c r="V95" s="76">
        <f t="shared" si="92"/>
        <v>0</v>
      </c>
      <c r="W95" s="77">
        <f t="shared" si="93"/>
        <v>0</v>
      </c>
      <c r="X95" s="77">
        <f t="shared" si="93"/>
        <v>0</v>
      </c>
      <c r="Y95" s="77">
        <f t="shared" si="93"/>
        <v>0</v>
      </c>
      <c r="Z95" s="77">
        <f t="shared" si="93"/>
        <v>0</v>
      </c>
      <c r="AA95" s="77">
        <f t="shared" si="93"/>
        <v>0</v>
      </c>
      <c r="AB95" s="77">
        <f t="shared" si="93"/>
        <v>0</v>
      </c>
      <c r="AC95" s="77">
        <f t="shared" si="93"/>
        <v>0</v>
      </c>
      <c r="AD95" s="77">
        <f t="shared" si="93"/>
        <v>0</v>
      </c>
      <c r="AE95" s="77">
        <f t="shared" si="93"/>
        <v>0</v>
      </c>
      <c r="AF95" s="77">
        <f t="shared" si="93"/>
        <v>0</v>
      </c>
    </row>
    <row r="96" spans="1:32" s="76" customFormat="1" x14ac:dyDescent="0.3">
      <c r="A96" s="71" t="s">
        <v>37</v>
      </c>
      <c r="B96" s="72" t="s">
        <v>78</v>
      </c>
      <c r="C96" s="50" t="s">
        <v>370</v>
      </c>
      <c r="D96" s="72" t="s">
        <v>238</v>
      </c>
      <c r="E96" s="73">
        <v>0</v>
      </c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>
        <f t="shared" si="89"/>
        <v>0</v>
      </c>
      <c r="Q96" s="73">
        <f t="shared" si="90"/>
        <v>0</v>
      </c>
      <c r="R96" s="74">
        <v>400</v>
      </c>
      <c r="S96" s="75">
        <f t="shared" si="91"/>
        <v>0</v>
      </c>
      <c r="U96" s="76">
        <v>0</v>
      </c>
      <c r="V96" s="76">
        <f t="shared" si="92"/>
        <v>0</v>
      </c>
      <c r="W96" s="77">
        <f t="shared" si="93"/>
        <v>0</v>
      </c>
      <c r="X96" s="77">
        <f t="shared" si="93"/>
        <v>0</v>
      </c>
      <c r="Y96" s="77">
        <f t="shared" si="93"/>
        <v>0</v>
      </c>
      <c r="Z96" s="77">
        <f t="shared" si="93"/>
        <v>0</v>
      </c>
      <c r="AA96" s="77">
        <f t="shared" si="93"/>
        <v>0</v>
      </c>
      <c r="AB96" s="77">
        <f t="shared" si="93"/>
        <v>0</v>
      </c>
      <c r="AC96" s="77">
        <f t="shared" si="93"/>
        <v>0</v>
      </c>
      <c r="AD96" s="77">
        <f t="shared" si="93"/>
        <v>0</v>
      </c>
      <c r="AE96" s="77">
        <f t="shared" si="93"/>
        <v>0</v>
      </c>
      <c r="AF96" s="77">
        <f t="shared" si="93"/>
        <v>0</v>
      </c>
    </row>
    <row r="97" spans="1:32" s="83" customFormat="1" x14ac:dyDescent="0.3">
      <c r="A97" s="78" t="s">
        <v>36</v>
      </c>
      <c r="B97" s="79" t="s">
        <v>246</v>
      </c>
      <c r="C97" s="79" t="s">
        <v>20</v>
      </c>
      <c r="D97" s="79" t="s">
        <v>242</v>
      </c>
      <c r="E97" s="80">
        <v>0</v>
      </c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>
        <f>SUM(G97:O97)</f>
        <v>0</v>
      </c>
      <c r="Q97" s="80">
        <f>E97+F97-P97</f>
        <v>0</v>
      </c>
      <c r="R97" s="81">
        <v>4300</v>
      </c>
      <c r="S97" s="82">
        <f>Q97*R97</f>
        <v>0</v>
      </c>
      <c r="U97" s="80"/>
      <c r="W97" s="84">
        <f t="shared" ref="W97:AE100" si="94">G97*$R97</f>
        <v>0</v>
      </c>
      <c r="X97" s="84">
        <f t="shared" si="94"/>
        <v>0</v>
      </c>
      <c r="Y97" s="84">
        <f t="shared" si="94"/>
        <v>0</v>
      </c>
      <c r="Z97" s="84">
        <f t="shared" si="94"/>
        <v>0</v>
      </c>
      <c r="AA97" s="84">
        <f t="shared" si="94"/>
        <v>0</v>
      </c>
      <c r="AB97" s="84">
        <f t="shared" si="94"/>
        <v>0</v>
      </c>
      <c r="AC97" s="84">
        <f t="shared" si="94"/>
        <v>0</v>
      </c>
      <c r="AD97" s="84">
        <f t="shared" si="94"/>
        <v>0</v>
      </c>
      <c r="AE97" s="84">
        <f t="shared" si="94"/>
        <v>0</v>
      </c>
      <c r="AF97" s="77">
        <f t="shared" si="93"/>
        <v>0</v>
      </c>
    </row>
    <row r="98" spans="1:32" s="83" customFormat="1" x14ac:dyDescent="0.3">
      <c r="A98" s="78" t="s">
        <v>36</v>
      </c>
      <c r="B98" s="79" t="s">
        <v>247</v>
      </c>
      <c r="C98" s="79" t="s">
        <v>20</v>
      </c>
      <c r="D98" s="79" t="s">
        <v>243</v>
      </c>
      <c r="E98" s="80">
        <v>1</v>
      </c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>
        <f>SUM(G98:O98)</f>
        <v>0</v>
      </c>
      <c r="Q98" s="80">
        <f>E98+F98-P98</f>
        <v>1</v>
      </c>
      <c r="R98" s="81">
        <v>4300</v>
      </c>
      <c r="S98" s="82">
        <f>Q98*R98</f>
        <v>4300</v>
      </c>
      <c r="U98" s="80"/>
      <c r="W98" s="84">
        <f t="shared" si="94"/>
        <v>0</v>
      </c>
      <c r="X98" s="84">
        <f t="shared" si="94"/>
        <v>0</v>
      </c>
      <c r="Y98" s="84">
        <f t="shared" si="94"/>
        <v>0</v>
      </c>
      <c r="Z98" s="84">
        <f t="shared" si="94"/>
        <v>0</v>
      </c>
      <c r="AA98" s="84">
        <f t="shared" si="94"/>
        <v>0</v>
      </c>
      <c r="AB98" s="84">
        <f t="shared" si="94"/>
        <v>0</v>
      </c>
      <c r="AC98" s="84">
        <f t="shared" si="94"/>
        <v>0</v>
      </c>
      <c r="AD98" s="84">
        <f t="shared" si="94"/>
        <v>0</v>
      </c>
      <c r="AE98" s="84">
        <f t="shared" si="94"/>
        <v>0</v>
      </c>
      <c r="AF98" s="77">
        <f t="shared" si="93"/>
        <v>0</v>
      </c>
    </row>
    <row r="99" spans="1:32" s="83" customFormat="1" x14ac:dyDescent="0.3">
      <c r="A99" s="78" t="s">
        <v>36</v>
      </c>
      <c r="B99" s="79" t="s">
        <v>248</v>
      </c>
      <c r="C99" s="79" t="s">
        <v>20</v>
      </c>
      <c r="D99" s="79" t="s">
        <v>244</v>
      </c>
      <c r="E99" s="80">
        <v>1</v>
      </c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>
        <f>SUM(G99:O99)</f>
        <v>0</v>
      </c>
      <c r="Q99" s="80">
        <f>E99+F99-P99</f>
        <v>1</v>
      </c>
      <c r="R99" s="81">
        <v>4300</v>
      </c>
      <c r="S99" s="82">
        <f>Q99*R99</f>
        <v>4300</v>
      </c>
      <c r="U99" s="80"/>
      <c r="W99" s="84">
        <f t="shared" si="94"/>
        <v>0</v>
      </c>
      <c r="X99" s="84">
        <f t="shared" si="94"/>
        <v>0</v>
      </c>
      <c r="Y99" s="84">
        <f t="shared" si="94"/>
        <v>0</v>
      </c>
      <c r="Z99" s="84">
        <f t="shared" si="94"/>
        <v>0</v>
      </c>
      <c r="AA99" s="84">
        <f t="shared" si="94"/>
        <v>0</v>
      </c>
      <c r="AB99" s="84">
        <f t="shared" si="94"/>
        <v>0</v>
      </c>
      <c r="AC99" s="84">
        <f t="shared" si="94"/>
        <v>0</v>
      </c>
      <c r="AD99" s="84">
        <f t="shared" si="94"/>
        <v>0</v>
      </c>
      <c r="AE99" s="84">
        <f t="shared" si="94"/>
        <v>0</v>
      </c>
      <c r="AF99" s="77">
        <f t="shared" si="93"/>
        <v>0</v>
      </c>
    </row>
    <row r="100" spans="1:32" s="83" customFormat="1" ht="12.5" customHeight="1" x14ac:dyDescent="0.3">
      <c r="A100" s="78" t="s">
        <v>36</v>
      </c>
      <c r="B100" s="79" t="s">
        <v>249</v>
      </c>
      <c r="C100" s="79" t="s">
        <v>20</v>
      </c>
      <c r="D100" s="79" t="s">
        <v>245</v>
      </c>
      <c r="E100" s="80">
        <v>1</v>
      </c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>
        <f>SUM(G100:O100)</f>
        <v>0</v>
      </c>
      <c r="Q100" s="80">
        <f>E100+F100-P100</f>
        <v>1</v>
      </c>
      <c r="R100" s="81">
        <v>4300</v>
      </c>
      <c r="S100" s="82">
        <f>Q100*R100</f>
        <v>4300</v>
      </c>
      <c r="U100" s="80"/>
      <c r="W100" s="84">
        <f t="shared" si="94"/>
        <v>0</v>
      </c>
      <c r="X100" s="84">
        <f t="shared" si="94"/>
        <v>0</v>
      </c>
      <c r="Y100" s="84">
        <f t="shared" si="94"/>
        <v>0</v>
      </c>
      <c r="Z100" s="84">
        <f t="shared" si="94"/>
        <v>0</v>
      </c>
      <c r="AA100" s="84">
        <f t="shared" si="94"/>
        <v>0</v>
      </c>
      <c r="AB100" s="84">
        <f t="shared" si="94"/>
        <v>0</v>
      </c>
      <c r="AC100" s="84">
        <f t="shared" si="94"/>
        <v>0</v>
      </c>
      <c r="AD100" s="84">
        <f t="shared" si="94"/>
        <v>0</v>
      </c>
      <c r="AE100" s="84">
        <f t="shared" si="94"/>
        <v>0</v>
      </c>
      <c r="AF100" s="77">
        <f t="shared" si="93"/>
        <v>0</v>
      </c>
    </row>
    <row r="101" spans="1:32" s="83" customFormat="1" x14ac:dyDescent="0.3">
      <c r="A101" s="78" t="s">
        <v>36</v>
      </c>
      <c r="B101" s="79" t="s">
        <v>250</v>
      </c>
      <c r="C101" s="79" t="s">
        <v>20</v>
      </c>
      <c r="D101" s="79" t="s">
        <v>239</v>
      </c>
      <c r="E101" s="80">
        <v>15</v>
      </c>
      <c r="F101" s="80"/>
      <c r="G101" s="80"/>
      <c r="H101" s="80"/>
      <c r="I101" s="80"/>
      <c r="J101" s="80"/>
      <c r="K101" s="80">
        <v>1</v>
      </c>
      <c r="L101" s="80"/>
      <c r="M101" s="80"/>
      <c r="N101" s="80"/>
      <c r="O101" s="80"/>
      <c r="P101" s="80">
        <f t="shared" si="89"/>
        <v>1</v>
      </c>
      <c r="Q101" s="80">
        <f t="shared" si="90"/>
        <v>14</v>
      </c>
      <c r="R101" s="81">
        <v>320</v>
      </c>
      <c r="S101" s="82">
        <f t="shared" si="91"/>
        <v>4480</v>
      </c>
      <c r="U101" s="80">
        <v>12</v>
      </c>
      <c r="V101" s="83">
        <f t="shared" si="92"/>
        <v>26</v>
      </c>
      <c r="W101" s="84">
        <f t="shared" ref="W101:W116" si="95">G101*$R101</f>
        <v>0</v>
      </c>
      <c r="X101" s="84">
        <f t="shared" ref="X101:X116" si="96">H101*$R101</f>
        <v>0</v>
      </c>
      <c r="Y101" s="84">
        <f t="shared" ref="Y101:Y116" si="97">I101*$R101</f>
        <v>0</v>
      </c>
      <c r="Z101" s="84">
        <f t="shared" ref="Z101:Z116" si="98">J101*$R101</f>
        <v>0</v>
      </c>
      <c r="AA101" s="84">
        <f t="shared" ref="AA101:AA116" si="99">K101*$R101</f>
        <v>320</v>
      </c>
      <c r="AB101" s="84">
        <f t="shared" ref="AB101:AB116" si="100">L101*$R101</f>
        <v>0</v>
      </c>
      <c r="AC101" s="84">
        <f t="shared" ref="AC101:AC116" si="101">M101*$R101</f>
        <v>0</v>
      </c>
      <c r="AD101" s="84">
        <f t="shared" ref="AD101:AD116" si="102">N101*$R101</f>
        <v>0</v>
      </c>
      <c r="AE101" s="84">
        <f t="shared" ref="AE101:AF116" si="103">O101*$R101</f>
        <v>0</v>
      </c>
      <c r="AF101" s="77">
        <f t="shared" si="93"/>
        <v>320</v>
      </c>
    </row>
    <row r="102" spans="1:32" s="83" customFormat="1" x14ac:dyDescent="0.3">
      <c r="A102" s="78" t="s">
        <v>36</v>
      </c>
      <c r="B102" s="79" t="s">
        <v>251</v>
      </c>
      <c r="C102" s="79" t="s">
        <v>20</v>
      </c>
      <c r="D102" s="79" t="s">
        <v>240</v>
      </c>
      <c r="E102" s="80">
        <v>19</v>
      </c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>
        <f t="shared" si="89"/>
        <v>0</v>
      </c>
      <c r="Q102" s="80">
        <f t="shared" si="90"/>
        <v>19</v>
      </c>
      <c r="R102" s="81">
        <v>320</v>
      </c>
      <c r="S102" s="82">
        <f t="shared" si="91"/>
        <v>6080</v>
      </c>
      <c r="U102" s="80">
        <v>16</v>
      </c>
      <c r="V102" s="83">
        <f t="shared" si="92"/>
        <v>35</v>
      </c>
      <c r="W102" s="84">
        <f t="shared" si="95"/>
        <v>0</v>
      </c>
      <c r="X102" s="84">
        <f t="shared" si="96"/>
        <v>0</v>
      </c>
      <c r="Y102" s="84">
        <f t="shared" si="97"/>
        <v>0</v>
      </c>
      <c r="Z102" s="84">
        <f t="shared" si="98"/>
        <v>0</v>
      </c>
      <c r="AA102" s="84">
        <f t="shared" si="99"/>
        <v>0</v>
      </c>
      <c r="AB102" s="84">
        <f t="shared" si="100"/>
        <v>0</v>
      </c>
      <c r="AC102" s="84">
        <f t="shared" si="101"/>
        <v>0</v>
      </c>
      <c r="AD102" s="84">
        <f t="shared" si="102"/>
        <v>0</v>
      </c>
      <c r="AE102" s="84">
        <f t="shared" si="103"/>
        <v>0</v>
      </c>
      <c r="AF102" s="77">
        <f t="shared" si="93"/>
        <v>0</v>
      </c>
    </row>
    <row r="103" spans="1:32" s="83" customFormat="1" x14ac:dyDescent="0.3">
      <c r="A103" s="78" t="s">
        <v>36</v>
      </c>
      <c r="B103" s="79" t="s">
        <v>252</v>
      </c>
      <c r="C103" s="79" t="s">
        <v>20</v>
      </c>
      <c r="D103" s="79" t="s">
        <v>241</v>
      </c>
      <c r="E103" s="80">
        <v>15</v>
      </c>
      <c r="F103" s="80"/>
      <c r="G103" s="80"/>
      <c r="H103" s="80"/>
      <c r="I103" s="80"/>
      <c r="J103" s="80"/>
      <c r="K103" s="80">
        <v>1</v>
      </c>
      <c r="L103" s="80"/>
      <c r="M103" s="80"/>
      <c r="N103" s="80"/>
      <c r="O103" s="80"/>
      <c r="P103" s="80">
        <f t="shared" si="89"/>
        <v>1</v>
      </c>
      <c r="Q103" s="80">
        <f t="shared" si="90"/>
        <v>14</v>
      </c>
      <c r="R103" s="81">
        <v>320</v>
      </c>
      <c r="S103" s="82">
        <f t="shared" si="91"/>
        <v>4480</v>
      </c>
      <c r="U103" s="80">
        <v>14</v>
      </c>
      <c r="V103" s="83">
        <f t="shared" si="92"/>
        <v>28</v>
      </c>
      <c r="W103" s="84">
        <f t="shared" si="95"/>
        <v>0</v>
      </c>
      <c r="X103" s="84">
        <f t="shared" si="96"/>
        <v>0</v>
      </c>
      <c r="Y103" s="84">
        <f t="shared" si="97"/>
        <v>0</v>
      </c>
      <c r="Z103" s="84">
        <f t="shared" si="98"/>
        <v>0</v>
      </c>
      <c r="AA103" s="84">
        <f t="shared" si="99"/>
        <v>320</v>
      </c>
      <c r="AB103" s="84">
        <f t="shared" si="100"/>
        <v>0</v>
      </c>
      <c r="AC103" s="84">
        <f t="shared" si="101"/>
        <v>0</v>
      </c>
      <c r="AD103" s="84">
        <f t="shared" si="102"/>
        <v>0</v>
      </c>
      <c r="AE103" s="84">
        <f t="shared" si="103"/>
        <v>0</v>
      </c>
      <c r="AF103" s="77">
        <f t="shared" si="93"/>
        <v>320</v>
      </c>
    </row>
    <row r="104" spans="1:32" s="83" customFormat="1" x14ac:dyDescent="0.3">
      <c r="A104" s="78" t="s">
        <v>36</v>
      </c>
      <c r="B104" s="79" t="s">
        <v>253</v>
      </c>
      <c r="C104" s="79" t="s">
        <v>20</v>
      </c>
      <c r="D104" s="79" t="s">
        <v>254</v>
      </c>
      <c r="E104" s="80">
        <v>13</v>
      </c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>
        <f t="shared" si="89"/>
        <v>0</v>
      </c>
      <c r="Q104" s="80">
        <f t="shared" si="90"/>
        <v>13</v>
      </c>
      <c r="R104" s="81">
        <v>320</v>
      </c>
      <c r="S104" s="82">
        <f t="shared" si="91"/>
        <v>4160</v>
      </c>
      <c r="U104" s="80">
        <v>17</v>
      </c>
      <c r="V104" s="83">
        <f t="shared" si="92"/>
        <v>30</v>
      </c>
      <c r="W104" s="84">
        <f t="shared" si="95"/>
        <v>0</v>
      </c>
      <c r="X104" s="84">
        <f t="shared" si="96"/>
        <v>0</v>
      </c>
      <c r="Y104" s="84">
        <f t="shared" si="97"/>
        <v>0</v>
      </c>
      <c r="Z104" s="84">
        <f t="shared" si="98"/>
        <v>0</v>
      </c>
      <c r="AA104" s="84">
        <f t="shared" si="99"/>
        <v>0</v>
      </c>
      <c r="AB104" s="84">
        <f t="shared" si="100"/>
        <v>0</v>
      </c>
      <c r="AC104" s="84">
        <f t="shared" si="101"/>
        <v>0</v>
      </c>
      <c r="AD104" s="84">
        <f t="shared" si="102"/>
        <v>0</v>
      </c>
      <c r="AE104" s="84">
        <f t="shared" si="103"/>
        <v>0</v>
      </c>
      <c r="AF104" s="77">
        <f t="shared" si="93"/>
        <v>0</v>
      </c>
    </row>
    <row r="105" spans="1:32" s="83" customFormat="1" x14ac:dyDescent="0.3">
      <c r="A105" s="78" t="s">
        <v>36</v>
      </c>
      <c r="B105" s="79" t="s">
        <v>271</v>
      </c>
      <c r="C105" s="79" t="s">
        <v>20</v>
      </c>
      <c r="D105" s="79" t="s">
        <v>255</v>
      </c>
      <c r="E105" s="80">
        <v>0</v>
      </c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>
        <f>SUM(G105:O105)</f>
        <v>0</v>
      </c>
      <c r="Q105" s="80">
        <f>E105+F105-P105</f>
        <v>0</v>
      </c>
      <c r="R105" s="81">
        <v>780</v>
      </c>
      <c r="S105" s="82">
        <f>Q105*R105</f>
        <v>0</v>
      </c>
      <c r="U105" s="80">
        <v>0</v>
      </c>
      <c r="V105" s="83">
        <f>Q105+U105</f>
        <v>0</v>
      </c>
      <c r="W105" s="84">
        <f t="shared" ref="W105:AE108" si="104">G105*$R105</f>
        <v>0</v>
      </c>
      <c r="X105" s="84">
        <f t="shared" si="104"/>
        <v>0</v>
      </c>
      <c r="Y105" s="84">
        <f t="shared" si="104"/>
        <v>0</v>
      </c>
      <c r="Z105" s="84">
        <f t="shared" si="104"/>
        <v>0</v>
      </c>
      <c r="AA105" s="84">
        <f t="shared" si="104"/>
        <v>0</v>
      </c>
      <c r="AB105" s="84">
        <f t="shared" si="104"/>
        <v>0</v>
      </c>
      <c r="AC105" s="84">
        <f t="shared" si="104"/>
        <v>0</v>
      </c>
      <c r="AD105" s="84">
        <f t="shared" si="104"/>
        <v>0</v>
      </c>
      <c r="AE105" s="84">
        <f t="shared" si="104"/>
        <v>0</v>
      </c>
      <c r="AF105" s="77">
        <f t="shared" si="93"/>
        <v>0</v>
      </c>
    </row>
    <row r="106" spans="1:32" s="83" customFormat="1" x14ac:dyDescent="0.3">
      <c r="A106" s="78" t="s">
        <v>36</v>
      </c>
      <c r="B106" s="79" t="s">
        <v>272</v>
      </c>
      <c r="C106" s="79" t="s">
        <v>20</v>
      </c>
      <c r="D106" s="79" t="s">
        <v>256</v>
      </c>
      <c r="E106" s="80">
        <v>0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>
        <f t="shared" ref="P106:P107" si="105">SUM(G106:O106)</f>
        <v>0</v>
      </c>
      <c r="Q106" s="80">
        <f t="shared" ref="Q106:Q107" si="106">E106+F106-P106</f>
        <v>0</v>
      </c>
      <c r="R106" s="81">
        <v>780</v>
      </c>
      <c r="S106" s="82">
        <f>Q106*R106</f>
        <v>0</v>
      </c>
      <c r="U106" s="80"/>
      <c r="W106" s="84">
        <f t="shared" si="104"/>
        <v>0</v>
      </c>
      <c r="X106" s="84">
        <f t="shared" si="104"/>
        <v>0</v>
      </c>
      <c r="Y106" s="84">
        <f t="shared" si="104"/>
        <v>0</v>
      </c>
      <c r="Z106" s="84">
        <f t="shared" si="104"/>
        <v>0</v>
      </c>
      <c r="AA106" s="84">
        <f t="shared" si="104"/>
        <v>0</v>
      </c>
      <c r="AB106" s="84">
        <f t="shared" si="104"/>
        <v>0</v>
      </c>
      <c r="AC106" s="84">
        <f t="shared" si="104"/>
        <v>0</v>
      </c>
      <c r="AD106" s="84">
        <f t="shared" si="104"/>
        <v>0</v>
      </c>
      <c r="AE106" s="84">
        <f t="shared" si="104"/>
        <v>0</v>
      </c>
      <c r="AF106" s="77">
        <f t="shared" si="93"/>
        <v>0</v>
      </c>
    </row>
    <row r="107" spans="1:32" s="83" customFormat="1" x14ac:dyDescent="0.3">
      <c r="A107" s="78" t="s">
        <v>36</v>
      </c>
      <c r="B107" s="79" t="s">
        <v>273</v>
      </c>
      <c r="C107" s="79" t="s">
        <v>20</v>
      </c>
      <c r="D107" s="79" t="s">
        <v>257</v>
      </c>
      <c r="E107" s="99">
        <v>0</v>
      </c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>
        <f t="shared" si="105"/>
        <v>0</v>
      </c>
      <c r="Q107" s="80">
        <f t="shared" si="106"/>
        <v>0</v>
      </c>
      <c r="R107" s="81">
        <v>780</v>
      </c>
      <c r="S107" s="82">
        <f>Q107*R107</f>
        <v>0</v>
      </c>
      <c r="U107" s="80"/>
      <c r="W107" s="84">
        <f t="shared" si="104"/>
        <v>0</v>
      </c>
      <c r="X107" s="84">
        <f t="shared" si="104"/>
        <v>0</v>
      </c>
      <c r="Y107" s="84">
        <f t="shared" si="104"/>
        <v>0</v>
      </c>
      <c r="Z107" s="84">
        <f t="shared" si="104"/>
        <v>0</v>
      </c>
      <c r="AA107" s="84">
        <f t="shared" si="104"/>
        <v>0</v>
      </c>
      <c r="AB107" s="84">
        <f t="shared" si="104"/>
        <v>0</v>
      </c>
      <c r="AC107" s="84">
        <f t="shared" si="104"/>
        <v>0</v>
      </c>
      <c r="AD107" s="84">
        <f t="shared" si="104"/>
        <v>0</v>
      </c>
      <c r="AE107" s="84">
        <f t="shared" si="104"/>
        <v>0</v>
      </c>
      <c r="AF107" s="77">
        <f t="shared" si="93"/>
        <v>0</v>
      </c>
    </row>
    <row r="108" spans="1:32" s="83" customFormat="1" x14ac:dyDescent="0.3">
      <c r="A108" s="78" t="s">
        <v>36</v>
      </c>
      <c r="B108" s="79" t="s">
        <v>274</v>
      </c>
      <c r="C108" s="79" t="s">
        <v>20</v>
      </c>
      <c r="D108" s="79" t="s">
        <v>258</v>
      </c>
      <c r="E108" s="80">
        <v>0</v>
      </c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>
        <f>SUM(G108:O108)</f>
        <v>0</v>
      </c>
      <c r="Q108" s="80">
        <f>E108+F108-P108</f>
        <v>0</v>
      </c>
      <c r="R108" s="81">
        <v>780</v>
      </c>
      <c r="S108" s="82">
        <f>Q108*R108</f>
        <v>0</v>
      </c>
      <c r="U108" s="80">
        <v>0</v>
      </c>
      <c r="V108" s="83">
        <f>Q108+U108</f>
        <v>0</v>
      </c>
      <c r="W108" s="84">
        <f t="shared" si="104"/>
        <v>0</v>
      </c>
      <c r="X108" s="84">
        <f t="shared" si="104"/>
        <v>0</v>
      </c>
      <c r="Y108" s="84">
        <f t="shared" si="104"/>
        <v>0</v>
      </c>
      <c r="Z108" s="84">
        <f t="shared" si="104"/>
        <v>0</v>
      </c>
      <c r="AA108" s="84">
        <f t="shared" si="104"/>
        <v>0</v>
      </c>
      <c r="AB108" s="84">
        <f t="shared" si="104"/>
        <v>0</v>
      </c>
      <c r="AC108" s="84">
        <f t="shared" si="104"/>
        <v>0</v>
      </c>
      <c r="AD108" s="84">
        <f t="shared" si="104"/>
        <v>0</v>
      </c>
      <c r="AE108" s="84">
        <f t="shared" si="104"/>
        <v>0</v>
      </c>
      <c r="AF108" s="77">
        <f t="shared" si="93"/>
        <v>0</v>
      </c>
    </row>
    <row r="109" spans="1:32" s="83" customFormat="1" x14ac:dyDescent="0.3">
      <c r="A109" s="78" t="s">
        <v>36</v>
      </c>
      <c r="B109" s="79" t="s">
        <v>275</v>
      </c>
      <c r="C109" s="79" t="s">
        <v>20</v>
      </c>
      <c r="D109" s="79" t="s">
        <v>259</v>
      </c>
      <c r="E109" s="80">
        <v>7</v>
      </c>
      <c r="F109" s="80"/>
      <c r="G109" s="80">
        <v>2</v>
      </c>
      <c r="H109" s="80"/>
      <c r="I109" s="80"/>
      <c r="J109" s="80"/>
      <c r="K109" s="80"/>
      <c r="L109" s="80">
        <v>1</v>
      </c>
      <c r="M109" s="80"/>
      <c r="N109" s="80"/>
      <c r="O109" s="80"/>
      <c r="P109" s="80">
        <f t="shared" si="89"/>
        <v>3</v>
      </c>
      <c r="Q109" s="80">
        <f t="shared" si="90"/>
        <v>4</v>
      </c>
      <c r="R109" s="81">
        <v>320</v>
      </c>
      <c r="S109" s="82">
        <f t="shared" si="91"/>
        <v>1280</v>
      </c>
      <c r="U109" s="80">
        <v>10</v>
      </c>
      <c r="V109" s="83">
        <f t="shared" si="92"/>
        <v>14</v>
      </c>
      <c r="W109" s="84">
        <f t="shared" si="95"/>
        <v>640</v>
      </c>
      <c r="X109" s="84">
        <f t="shared" si="96"/>
        <v>0</v>
      </c>
      <c r="Y109" s="84">
        <f t="shared" si="97"/>
        <v>0</v>
      </c>
      <c r="Z109" s="84">
        <f t="shared" si="98"/>
        <v>0</v>
      </c>
      <c r="AA109" s="84">
        <f t="shared" si="99"/>
        <v>0</v>
      </c>
      <c r="AB109" s="84">
        <f t="shared" si="100"/>
        <v>320</v>
      </c>
      <c r="AC109" s="84">
        <f t="shared" si="101"/>
        <v>0</v>
      </c>
      <c r="AD109" s="84">
        <f t="shared" si="102"/>
        <v>0</v>
      </c>
      <c r="AE109" s="84">
        <f t="shared" si="103"/>
        <v>0</v>
      </c>
      <c r="AF109" s="77">
        <f t="shared" si="93"/>
        <v>960</v>
      </c>
    </row>
    <row r="110" spans="1:32" s="83" customFormat="1" x14ac:dyDescent="0.3">
      <c r="A110" s="78" t="s">
        <v>36</v>
      </c>
      <c r="B110" s="79" t="s">
        <v>276</v>
      </c>
      <c r="C110" s="79" t="s">
        <v>20</v>
      </c>
      <c r="D110" s="79" t="s">
        <v>260</v>
      </c>
      <c r="E110" s="80">
        <v>9</v>
      </c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>
        <f t="shared" si="89"/>
        <v>0</v>
      </c>
      <c r="Q110" s="80">
        <f t="shared" si="90"/>
        <v>9</v>
      </c>
      <c r="R110" s="81">
        <v>320</v>
      </c>
      <c r="S110" s="82">
        <f t="shared" si="91"/>
        <v>2880</v>
      </c>
      <c r="U110" s="80">
        <v>18</v>
      </c>
      <c r="V110" s="83">
        <f t="shared" si="92"/>
        <v>27</v>
      </c>
      <c r="W110" s="84">
        <f t="shared" si="95"/>
        <v>0</v>
      </c>
      <c r="X110" s="84">
        <f t="shared" si="96"/>
        <v>0</v>
      </c>
      <c r="Y110" s="84">
        <f t="shared" si="97"/>
        <v>0</v>
      </c>
      <c r="Z110" s="84">
        <f t="shared" si="98"/>
        <v>0</v>
      </c>
      <c r="AA110" s="84">
        <f t="shared" si="99"/>
        <v>0</v>
      </c>
      <c r="AB110" s="84">
        <f t="shared" si="100"/>
        <v>0</v>
      </c>
      <c r="AC110" s="84">
        <f t="shared" si="101"/>
        <v>0</v>
      </c>
      <c r="AD110" s="84">
        <f t="shared" si="102"/>
        <v>0</v>
      </c>
      <c r="AE110" s="84">
        <f t="shared" si="103"/>
        <v>0</v>
      </c>
      <c r="AF110" s="77">
        <f t="shared" si="103"/>
        <v>0</v>
      </c>
    </row>
    <row r="111" spans="1:32" s="83" customFormat="1" x14ac:dyDescent="0.3">
      <c r="A111" s="78" t="s">
        <v>36</v>
      </c>
      <c r="B111" s="79" t="s">
        <v>277</v>
      </c>
      <c r="C111" s="79" t="s">
        <v>20</v>
      </c>
      <c r="D111" s="79" t="s">
        <v>261</v>
      </c>
      <c r="E111" s="80">
        <v>9</v>
      </c>
      <c r="F111" s="80"/>
      <c r="G111" s="80">
        <v>1</v>
      </c>
      <c r="H111" s="80"/>
      <c r="I111" s="80"/>
      <c r="J111" s="80"/>
      <c r="K111" s="80"/>
      <c r="L111" s="80"/>
      <c r="M111" s="80"/>
      <c r="N111" s="80"/>
      <c r="O111" s="80"/>
      <c r="P111" s="80">
        <f t="shared" si="89"/>
        <v>1</v>
      </c>
      <c r="Q111" s="80">
        <f t="shared" si="90"/>
        <v>8</v>
      </c>
      <c r="R111" s="81">
        <v>320</v>
      </c>
      <c r="S111" s="82">
        <f t="shared" si="91"/>
        <v>2560</v>
      </c>
      <c r="U111" s="80">
        <v>20</v>
      </c>
      <c r="V111" s="83">
        <f t="shared" si="92"/>
        <v>28</v>
      </c>
      <c r="W111" s="84">
        <f t="shared" si="95"/>
        <v>320</v>
      </c>
      <c r="X111" s="84">
        <f t="shared" si="96"/>
        <v>0</v>
      </c>
      <c r="Y111" s="84">
        <f t="shared" si="97"/>
        <v>0</v>
      </c>
      <c r="Z111" s="84">
        <f t="shared" si="98"/>
        <v>0</v>
      </c>
      <c r="AA111" s="84">
        <f t="shared" si="99"/>
        <v>0</v>
      </c>
      <c r="AB111" s="84">
        <f t="shared" si="100"/>
        <v>0</v>
      </c>
      <c r="AC111" s="84">
        <f t="shared" si="101"/>
        <v>0</v>
      </c>
      <c r="AD111" s="84">
        <f t="shared" si="102"/>
        <v>0</v>
      </c>
      <c r="AE111" s="84">
        <f t="shared" si="103"/>
        <v>0</v>
      </c>
      <c r="AF111" s="77">
        <f t="shared" si="103"/>
        <v>320</v>
      </c>
    </row>
    <row r="112" spans="1:32" s="83" customFormat="1" x14ac:dyDescent="0.3">
      <c r="A112" s="78" t="s">
        <v>36</v>
      </c>
      <c r="B112" s="79" t="s">
        <v>278</v>
      </c>
      <c r="C112" s="79" t="s">
        <v>20</v>
      </c>
      <c r="D112" s="79" t="s">
        <v>262</v>
      </c>
      <c r="E112" s="80">
        <v>12</v>
      </c>
      <c r="F112" s="80"/>
      <c r="G112" s="80">
        <v>1</v>
      </c>
      <c r="H112" s="80"/>
      <c r="I112" s="80"/>
      <c r="J112" s="80"/>
      <c r="K112" s="80"/>
      <c r="L112" s="80">
        <v>1</v>
      </c>
      <c r="M112" s="80"/>
      <c r="N112" s="80"/>
      <c r="O112" s="80"/>
      <c r="P112" s="80">
        <f t="shared" si="89"/>
        <v>2</v>
      </c>
      <c r="Q112" s="80">
        <f t="shared" si="90"/>
        <v>10</v>
      </c>
      <c r="R112" s="81">
        <v>320</v>
      </c>
      <c r="S112" s="82">
        <f t="shared" si="91"/>
        <v>3200</v>
      </c>
      <c r="U112" s="80">
        <v>19</v>
      </c>
      <c r="V112" s="83">
        <f t="shared" si="92"/>
        <v>29</v>
      </c>
      <c r="W112" s="84">
        <f t="shared" si="95"/>
        <v>320</v>
      </c>
      <c r="X112" s="84">
        <f t="shared" si="96"/>
        <v>0</v>
      </c>
      <c r="Y112" s="84">
        <f t="shared" si="97"/>
        <v>0</v>
      </c>
      <c r="Z112" s="84">
        <f t="shared" si="98"/>
        <v>0</v>
      </c>
      <c r="AA112" s="84">
        <f t="shared" si="99"/>
        <v>0</v>
      </c>
      <c r="AB112" s="84">
        <f t="shared" si="100"/>
        <v>320</v>
      </c>
      <c r="AC112" s="84">
        <f t="shared" si="101"/>
        <v>0</v>
      </c>
      <c r="AD112" s="84">
        <f t="shared" si="102"/>
        <v>0</v>
      </c>
      <c r="AE112" s="84">
        <f t="shared" si="103"/>
        <v>0</v>
      </c>
      <c r="AF112" s="77">
        <f t="shared" si="103"/>
        <v>640</v>
      </c>
    </row>
    <row r="113" spans="1:32" s="83" customFormat="1" x14ac:dyDescent="0.3">
      <c r="A113" s="78" t="s">
        <v>36</v>
      </c>
      <c r="B113" s="79" t="s">
        <v>279</v>
      </c>
      <c r="C113" s="79" t="s">
        <v>20</v>
      </c>
      <c r="D113" s="79" t="s">
        <v>263</v>
      </c>
      <c r="E113" s="80">
        <v>0</v>
      </c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>
        <f t="shared" ref="P113:P116" si="107">SUM(G113:O113)</f>
        <v>0</v>
      </c>
      <c r="Q113" s="80">
        <f t="shared" ref="Q113:Q116" si="108">E113+F113-P113</f>
        <v>0</v>
      </c>
      <c r="R113" s="81">
        <v>360</v>
      </c>
      <c r="S113" s="82">
        <f t="shared" si="91"/>
        <v>0</v>
      </c>
      <c r="U113" s="80">
        <v>20</v>
      </c>
      <c r="V113" s="83">
        <f t="shared" ref="V113:V120" si="109">Q113+U113</f>
        <v>20</v>
      </c>
      <c r="W113" s="84">
        <f t="shared" si="95"/>
        <v>0</v>
      </c>
      <c r="X113" s="84">
        <f t="shared" si="96"/>
        <v>0</v>
      </c>
      <c r="Y113" s="84">
        <f t="shared" si="97"/>
        <v>0</v>
      </c>
      <c r="Z113" s="84">
        <f t="shared" si="98"/>
        <v>0</v>
      </c>
      <c r="AA113" s="84">
        <f t="shared" si="99"/>
        <v>0</v>
      </c>
      <c r="AB113" s="84">
        <f t="shared" si="100"/>
        <v>0</v>
      </c>
      <c r="AC113" s="84">
        <f t="shared" si="101"/>
        <v>0</v>
      </c>
      <c r="AD113" s="84">
        <f t="shared" si="102"/>
        <v>0</v>
      </c>
      <c r="AE113" s="84">
        <f t="shared" si="103"/>
        <v>0</v>
      </c>
      <c r="AF113" s="77">
        <f t="shared" si="103"/>
        <v>0</v>
      </c>
    </row>
    <row r="114" spans="1:32" s="83" customFormat="1" x14ac:dyDescent="0.3">
      <c r="A114" s="78" t="s">
        <v>36</v>
      </c>
      <c r="B114" s="79" t="s">
        <v>280</v>
      </c>
      <c r="C114" s="79" t="s">
        <v>20</v>
      </c>
      <c r="D114" s="79" t="s">
        <v>264</v>
      </c>
      <c r="E114" s="80">
        <v>0</v>
      </c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>
        <f t="shared" si="107"/>
        <v>0</v>
      </c>
      <c r="Q114" s="80">
        <f t="shared" si="108"/>
        <v>0</v>
      </c>
      <c r="R114" s="81">
        <v>360</v>
      </c>
      <c r="S114" s="82">
        <f t="shared" si="91"/>
        <v>0</v>
      </c>
      <c r="U114" s="80">
        <v>20</v>
      </c>
      <c r="V114" s="83">
        <f t="shared" si="109"/>
        <v>20</v>
      </c>
      <c r="W114" s="84">
        <f t="shared" si="95"/>
        <v>0</v>
      </c>
      <c r="X114" s="84">
        <f t="shared" si="96"/>
        <v>0</v>
      </c>
      <c r="Y114" s="84">
        <f t="shared" si="97"/>
        <v>0</v>
      </c>
      <c r="Z114" s="84">
        <f t="shared" si="98"/>
        <v>0</v>
      </c>
      <c r="AA114" s="84">
        <f t="shared" si="99"/>
        <v>0</v>
      </c>
      <c r="AB114" s="84">
        <f t="shared" si="100"/>
        <v>0</v>
      </c>
      <c r="AC114" s="84">
        <f t="shared" si="101"/>
        <v>0</v>
      </c>
      <c r="AD114" s="84">
        <f t="shared" si="102"/>
        <v>0</v>
      </c>
      <c r="AE114" s="84">
        <f t="shared" si="103"/>
        <v>0</v>
      </c>
      <c r="AF114" s="77">
        <f t="shared" si="103"/>
        <v>0</v>
      </c>
    </row>
    <row r="115" spans="1:32" s="83" customFormat="1" x14ac:dyDescent="0.3">
      <c r="A115" s="78" t="s">
        <v>36</v>
      </c>
      <c r="B115" s="79" t="s">
        <v>281</v>
      </c>
      <c r="C115" s="79" t="s">
        <v>20</v>
      </c>
      <c r="D115" s="79" t="s">
        <v>265</v>
      </c>
      <c r="E115" s="80">
        <v>0</v>
      </c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>
        <f t="shared" si="107"/>
        <v>0</v>
      </c>
      <c r="Q115" s="80">
        <f t="shared" si="108"/>
        <v>0</v>
      </c>
      <c r="R115" s="81">
        <v>360</v>
      </c>
      <c r="S115" s="82">
        <f t="shared" si="91"/>
        <v>0</v>
      </c>
      <c r="U115" s="80">
        <v>20</v>
      </c>
      <c r="V115" s="83">
        <f t="shared" si="109"/>
        <v>20</v>
      </c>
      <c r="W115" s="84">
        <f t="shared" si="95"/>
        <v>0</v>
      </c>
      <c r="X115" s="84">
        <f t="shared" si="96"/>
        <v>0</v>
      </c>
      <c r="Y115" s="84">
        <f t="shared" si="97"/>
        <v>0</v>
      </c>
      <c r="Z115" s="84">
        <f t="shared" si="98"/>
        <v>0</v>
      </c>
      <c r="AA115" s="84">
        <f t="shared" si="99"/>
        <v>0</v>
      </c>
      <c r="AB115" s="84">
        <f t="shared" si="100"/>
        <v>0</v>
      </c>
      <c r="AC115" s="84">
        <f t="shared" si="101"/>
        <v>0</v>
      </c>
      <c r="AD115" s="84">
        <f t="shared" si="102"/>
        <v>0</v>
      </c>
      <c r="AE115" s="84">
        <f t="shared" si="103"/>
        <v>0</v>
      </c>
      <c r="AF115" s="85">
        <f t="shared" ref="AF115:AF120" si="110">$P115*$R115</f>
        <v>0</v>
      </c>
    </row>
    <row r="116" spans="1:32" s="83" customFormat="1" x14ac:dyDescent="0.3">
      <c r="A116" s="78" t="s">
        <v>36</v>
      </c>
      <c r="B116" s="79" t="s">
        <v>282</v>
      </c>
      <c r="C116" s="79" t="s">
        <v>20</v>
      </c>
      <c r="D116" s="79" t="s">
        <v>266</v>
      </c>
      <c r="E116" s="80">
        <v>0</v>
      </c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>
        <f t="shared" si="107"/>
        <v>0</v>
      </c>
      <c r="Q116" s="80">
        <f t="shared" si="108"/>
        <v>0</v>
      </c>
      <c r="R116" s="81">
        <v>360</v>
      </c>
      <c r="S116" s="82">
        <f t="shared" si="91"/>
        <v>0</v>
      </c>
      <c r="U116" s="80">
        <v>20</v>
      </c>
      <c r="V116" s="83">
        <f t="shared" si="109"/>
        <v>20</v>
      </c>
      <c r="W116" s="84">
        <f t="shared" si="95"/>
        <v>0</v>
      </c>
      <c r="X116" s="84">
        <f t="shared" si="96"/>
        <v>0</v>
      </c>
      <c r="Y116" s="84">
        <f t="shared" si="97"/>
        <v>0</v>
      </c>
      <c r="Z116" s="84">
        <f t="shared" si="98"/>
        <v>0</v>
      </c>
      <c r="AA116" s="84">
        <f t="shared" si="99"/>
        <v>0</v>
      </c>
      <c r="AB116" s="84">
        <f t="shared" si="100"/>
        <v>0</v>
      </c>
      <c r="AC116" s="84">
        <f t="shared" si="101"/>
        <v>0</v>
      </c>
      <c r="AD116" s="84">
        <f t="shared" si="102"/>
        <v>0</v>
      </c>
      <c r="AE116" s="84">
        <f t="shared" si="103"/>
        <v>0</v>
      </c>
      <c r="AF116" s="85">
        <f t="shared" si="110"/>
        <v>0</v>
      </c>
    </row>
    <row r="117" spans="1:32" s="83" customFormat="1" x14ac:dyDescent="0.3">
      <c r="A117" s="78" t="s">
        <v>36</v>
      </c>
      <c r="B117" s="79" t="s">
        <v>283</v>
      </c>
      <c r="C117" s="79" t="s">
        <v>20</v>
      </c>
      <c r="D117" s="79" t="s">
        <v>267</v>
      </c>
      <c r="E117" s="80">
        <v>0</v>
      </c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>
        <f>SUM(G117:O117)</f>
        <v>0</v>
      </c>
      <c r="Q117" s="80">
        <f>E117+F117-P117</f>
        <v>0</v>
      </c>
      <c r="R117" s="81">
        <v>430</v>
      </c>
      <c r="S117" s="82">
        <f>Q117*R117</f>
        <v>0</v>
      </c>
      <c r="U117" s="80">
        <v>0</v>
      </c>
      <c r="V117" s="83">
        <f t="shared" si="109"/>
        <v>0</v>
      </c>
      <c r="W117" s="84">
        <f t="shared" ref="W117:AE120" si="111">G117*$R117</f>
        <v>0</v>
      </c>
      <c r="X117" s="84">
        <f t="shared" si="111"/>
        <v>0</v>
      </c>
      <c r="Y117" s="84">
        <f t="shared" si="111"/>
        <v>0</v>
      </c>
      <c r="Z117" s="84">
        <f t="shared" si="111"/>
        <v>0</v>
      </c>
      <c r="AA117" s="84">
        <f t="shared" si="111"/>
        <v>0</v>
      </c>
      <c r="AB117" s="84">
        <f t="shared" si="111"/>
        <v>0</v>
      </c>
      <c r="AC117" s="84">
        <f t="shared" si="111"/>
        <v>0</v>
      </c>
      <c r="AD117" s="84">
        <f t="shared" si="111"/>
        <v>0</v>
      </c>
      <c r="AE117" s="84">
        <f t="shared" si="111"/>
        <v>0</v>
      </c>
      <c r="AF117" s="85">
        <f t="shared" si="110"/>
        <v>0</v>
      </c>
    </row>
    <row r="118" spans="1:32" s="83" customFormat="1" x14ac:dyDescent="0.3">
      <c r="A118" s="78" t="s">
        <v>36</v>
      </c>
      <c r="B118" s="79" t="s">
        <v>284</v>
      </c>
      <c r="C118" s="79" t="s">
        <v>20</v>
      </c>
      <c r="D118" s="79" t="s">
        <v>268</v>
      </c>
      <c r="E118" s="80">
        <v>0</v>
      </c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>
        <f>SUM(G118:O118)</f>
        <v>0</v>
      </c>
      <c r="Q118" s="80">
        <f>E118+F118-P118</f>
        <v>0</v>
      </c>
      <c r="R118" s="81">
        <v>430</v>
      </c>
      <c r="S118" s="82">
        <f>Q118*R118</f>
        <v>0</v>
      </c>
      <c r="U118" s="80">
        <v>7</v>
      </c>
      <c r="V118" s="83">
        <f t="shared" si="109"/>
        <v>7</v>
      </c>
      <c r="W118" s="84">
        <f t="shared" si="111"/>
        <v>0</v>
      </c>
      <c r="X118" s="84">
        <f t="shared" si="111"/>
        <v>0</v>
      </c>
      <c r="Y118" s="84">
        <f t="shared" si="111"/>
        <v>0</v>
      </c>
      <c r="Z118" s="84">
        <f t="shared" si="111"/>
        <v>0</v>
      </c>
      <c r="AA118" s="84">
        <f t="shared" si="111"/>
        <v>0</v>
      </c>
      <c r="AB118" s="84">
        <f t="shared" si="111"/>
        <v>0</v>
      </c>
      <c r="AC118" s="84">
        <f t="shared" si="111"/>
        <v>0</v>
      </c>
      <c r="AD118" s="84">
        <f t="shared" si="111"/>
        <v>0</v>
      </c>
      <c r="AE118" s="84">
        <f t="shared" si="111"/>
        <v>0</v>
      </c>
      <c r="AF118" s="85">
        <f t="shared" si="110"/>
        <v>0</v>
      </c>
    </row>
    <row r="119" spans="1:32" s="83" customFormat="1" x14ac:dyDescent="0.3">
      <c r="A119" s="78" t="s">
        <v>36</v>
      </c>
      <c r="B119" s="79" t="s">
        <v>285</v>
      </c>
      <c r="C119" s="79" t="s">
        <v>20</v>
      </c>
      <c r="D119" s="79" t="s">
        <v>269</v>
      </c>
      <c r="E119" s="80">
        <v>0</v>
      </c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>
        <f>SUM(G119:O119)</f>
        <v>0</v>
      </c>
      <c r="Q119" s="80">
        <f>E119+F119-P119</f>
        <v>0</v>
      </c>
      <c r="R119" s="81">
        <v>430</v>
      </c>
      <c r="S119" s="82">
        <f>Q119*R119</f>
        <v>0</v>
      </c>
      <c r="U119" s="80">
        <v>9</v>
      </c>
      <c r="V119" s="83">
        <f t="shared" si="109"/>
        <v>9</v>
      </c>
      <c r="W119" s="84">
        <f t="shared" si="111"/>
        <v>0</v>
      </c>
      <c r="X119" s="84">
        <f t="shared" si="111"/>
        <v>0</v>
      </c>
      <c r="Y119" s="84">
        <f t="shared" si="111"/>
        <v>0</v>
      </c>
      <c r="Z119" s="84">
        <f t="shared" si="111"/>
        <v>0</v>
      </c>
      <c r="AA119" s="84">
        <f t="shared" si="111"/>
        <v>0</v>
      </c>
      <c r="AB119" s="84">
        <f t="shared" si="111"/>
        <v>0</v>
      </c>
      <c r="AC119" s="84">
        <f t="shared" si="111"/>
        <v>0</v>
      </c>
      <c r="AD119" s="84">
        <f t="shared" si="111"/>
        <v>0</v>
      </c>
      <c r="AE119" s="84">
        <f t="shared" si="111"/>
        <v>0</v>
      </c>
      <c r="AF119" s="85">
        <f t="shared" si="110"/>
        <v>0</v>
      </c>
    </row>
    <row r="120" spans="1:32" s="83" customFormat="1" x14ac:dyDescent="0.3">
      <c r="A120" s="78" t="s">
        <v>36</v>
      </c>
      <c r="B120" s="79" t="s">
        <v>286</v>
      </c>
      <c r="C120" s="79" t="s">
        <v>20</v>
      </c>
      <c r="D120" s="79" t="s">
        <v>270</v>
      </c>
      <c r="E120" s="80">
        <v>0</v>
      </c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>
        <f>SUM(G120:O120)</f>
        <v>0</v>
      </c>
      <c r="Q120" s="80">
        <f>E120+F120-P120</f>
        <v>0</v>
      </c>
      <c r="R120" s="81">
        <v>430</v>
      </c>
      <c r="S120" s="82">
        <f>Q120*R120</f>
        <v>0</v>
      </c>
      <c r="U120" s="80">
        <v>7</v>
      </c>
      <c r="V120" s="83">
        <f t="shared" si="109"/>
        <v>7</v>
      </c>
      <c r="W120" s="84">
        <f t="shared" si="111"/>
        <v>0</v>
      </c>
      <c r="X120" s="84">
        <f t="shared" si="111"/>
        <v>0</v>
      </c>
      <c r="Y120" s="84">
        <f t="shared" si="111"/>
        <v>0</v>
      </c>
      <c r="Z120" s="84">
        <f t="shared" si="111"/>
        <v>0</v>
      </c>
      <c r="AA120" s="84">
        <f t="shared" si="111"/>
        <v>0</v>
      </c>
      <c r="AB120" s="84">
        <f t="shared" si="111"/>
        <v>0</v>
      </c>
      <c r="AC120" s="84">
        <f t="shared" si="111"/>
        <v>0</v>
      </c>
      <c r="AD120" s="84">
        <f t="shared" si="111"/>
        <v>0</v>
      </c>
      <c r="AE120" s="84">
        <f t="shared" si="111"/>
        <v>0</v>
      </c>
      <c r="AF120" s="85">
        <f t="shared" si="110"/>
        <v>0</v>
      </c>
    </row>
    <row r="121" spans="1:32" s="36" customFormat="1" x14ac:dyDescent="0.3">
      <c r="A121" s="86" t="s">
        <v>36</v>
      </c>
      <c r="B121" s="87" t="s">
        <v>292</v>
      </c>
      <c r="C121" s="87" t="s">
        <v>370</v>
      </c>
      <c r="D121" s="87" t="s">
        <v>287</v>
      </c>
      <c r="E121" s="88">
        <v>15</v>
      </c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>
        <f t="shared" ref="P121:P122" si="112">SUM(G121:O121)</f>
        <v>0</v>
      </c>
      <c r="Q121" s="88">
        <f t="shared" ref="Q121:Q122" si="113">E121+F121-P121</f>
        <v>15</v>
      </c>
      <c r="R121" s="89">
        <v>35</v>
      </c>
      <c r="S121" s="90">
        <f t="shared" ref="S121:S122" si="114">Q121*R121</f>
        <v>525</v>
      </c>
      <c r="U121" s="36">
        <v>5</v>
      </c>
      <c r="V121" s="36">
        <f t="shared" ref="V121:V122" si="115">Q121+U121</f>
        <v>20</v>
      </c>
      <c r="W121" s="91">
        <f t="shared" ref="W121:AF122" si="116">G121*$R121</f>
        <v>0</v>
      </c>
      <c r="X121" s="91">
        <f t="shared" si="116"/>
        <v>0</v>
      </c>
      <c r="Y121" s="91">
        <f t="shared" si="116"/>
        <v>0</v>
      </c>
      <c r="Z121" s="91">
        <f t="shared" si="116"/>
        <v>0</v>
      </c>
      <c r="AA121" s="91">
        <f t="shared" si="116"/>
        <v>0</v>
      </c>
      <c r="AB121" s="91">
        <f t="shared" si="116"/>
        <v>0</v>
      </c>
      <c r="AC121" s="91">
        <f t="shared" si="116"/>
        <v>0</v>
      </c>
      <c r="AD121" s="91">
        <f t="shared" si="116"/>
        <v>0</v>
      </c>
      <c r="AE121" s="91">
        <f t="shared" si="116"/>
        <v>0</v>
      </c>
      <c r="AF121" s="91">
        <f t="shared" si="116"/>
        <v>0</v>
      </c>
    </row>
    <row r="122" spans="1:32" s="36" customFormat="1" x14ac:dyDescent="0.3">
      <c r="A122" s="86" t="s">
        <v>36</v>
      </c>
      <c r="B122" s="87" t="s">
        <v>291</v>
      </c>
      <c r="C122" s="87" t="s">
        <v>370</v>
      </c>
      <c r="D122" s="87" t="s">
        <v>288</v>
      </c>
      <c r="E122" s="88">
        <v>8</v>
      </c>
      <c r="F122" s="88">
        <v>20</v>
      </c>
      <c r="G122" s="88">
        <v>3</v>
      </c>
      <c r="H122" s="88">
        <v>3</v>
      </c>
      <c r="I122" s="88"/>
      <c r="J122" s="88">
        <v>1</v>
      </c>
      <c r="K122" s="88">
        <v>1</v>
      </c>
      <c r="L122" s="88"/>
      <c r="M122" s="88"/>
      <c r="N122" s="88">
        <v>1</v>
      </c>
      <c r="O122" s="88">
        <v>2</v>
      </c>
      <c r="P122" s="88">
        <f t="shared" si="112"/>
        <v>11</v>
      </c>
      <c r="Q122" s="88">
        <f t="shared" si="113"/>
        <v>17</v>
      </c>
      <c r="R122" s="89">
        <v>25</v>
      </c>
      <c r="S122" s="90">
        <f t="shared" si="114"/>
        <v>425</v>
      </c>
      <c r="U122" s="36">
        <v>0</v>
      </c>
      <c r="V122" s="36">
        <f t="shared" si="115"/>
        <v>17</v>
      </c>
      <c r="W122" s="91">
        <f t="shared" si="116"/>
        <v>75</v>
      </c>
      <c r="X122" s="91">
        <f t="shared" si="116"/>
        <v>75</v>
      </c>
      <c r="Y122" s="91">
        <f t="shared" si="116"/>
        <v>0</v>
      </c>
      <c r="Z122" s="91">
        <f t="shared" si="116"/>
        <v>25</v>
      </c>
      <c r="AA122" s="91">
        <f t="shared" si="116"/>
        <v>25</v>
      </c>
      <c r="AB122" s="91">
        <f t="shared" si="116"/>
        <v>0</v>
      </c>
      <c r="AC122" s="91">
        <f t="shared" si="116"/>
        <v>0</v>
      </c>
      <c r="AD122" s="91">
        <f t="shared" si="116"/>
        <v>25</v>
      </c>
      <c r="AE122" s="91">
        <f t="shared" si="116"/>
        <v>50</v>
      </c>
      <c r="AF122" s="91">
        <f t="shared" si="116"/>
        <v>275</v>
      </c>
    </row>
    <row r="123" spans="1:32" s="12" customFormat="1" x14ac:dyDescent="0.3">
      <c r="A123" s="7" t="s">
        <v>37</v>
      </c>
      <c r="B123" s="8" t="s">
        <v>290</v>
      </c>
      <c r="C123" s="87" t="s">
        <v>370</v>
      </c>
      <c r="D123" s="8" t="s">
        <v>350</v>
      </c>
      <c r="E123" s="9">
        <v>48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>
        <f t="shared" ref="P123:P127" si="117">SUM(G123:O123)</f>
        <v>0</v>
      </c>
      <c r="Q123" s="9">
        <f t="shared" ref="Q123:Q127" si="118">E123+F123-P123</f>
        <v>48</v>
      </c>
      <c r="R123" s="10">
        <v>7</v>
      </c>
      <c r="S123" s="11">
        <f t="shared" ref="S123:S127" si="119">Q123*R123</f>
        <v>336</v>
      </c>
      <c r="U123" s="12">
        <v>800</v>
      </c>
      <c r="V123" s="39">
        <f t="shared" ref="V123:V128" si="120">Q123+U123</f>
        <v>848</v>
      </c>
      <c r="W123" s="45">
        <f t="shared" ref="W123:W127" si="121">G123*$R123</f>
        <v>0</v>
      </c>
      <c r="X123" s="45">
        <f t="shared" ref="X123:X127" si="122">H123*$R123</f>
        <v>0</v>
      </c>
      <c r="Y123" s="45">
        <f t="shared" ref="Y123:Y127" si="123">I123*$R123</f>
        <v>0</v>
      </c>
      <c r="Z123" s="45">
        <f t="shared" ref="Z123:Z127" si="124">J123*$R123</f>
        <v>0</v>
      </c>
      <c r="AA123" s="45">
        <f t="shared" ref="AA123:AA127" si="125">K123*$R123</f>
        <v>0</v>
      </c>
      <c r="AB123" s="45">
        <f t="shared" ref="AB123:AB127" si="126">L123*$R123</f>
        <v>0</v>
      </c>
      <c r="AC123" s="45">
        <f t="shared" ref="AC123:AC127" si="127">M123*$R123</f>
        <v>0</v>
      </c>
      <c r="AD123" s="45">
        <f t="shared" ref="AD123:AD127" si="128">N123*$R123</f>
        <v>0</v>
      </c>
      <c r="AE123" s="45">
        <f t="shared" ref="AE123:AE127" si="129">O123*$R123</f>
        <v>0</v>
      </c>
      <c r="AF123" s="45">
        <f t="shared" ref="AF123:AF127" si="130">P123*$R123</f>
        <v>0</v>
      </c>
    </row>
    <row r="124" spans="1:32" s="97" customFormat="1" x14ac:dyDescent="0.3">
      <c r="A124" s="92" t="s">
        <v>37</v>
      </c>
      <c r="B124" s="93" t="s">
        <v>293</v>
      </c>
      <c r="C124" s="87" t="s">
        <v>370</v>
      </c>
      <c r="D124" s="93" t="s">
        <v>289</v>
      </c>
      <c r="E124" s="94">
        <v>6</v>
      </c>
      <c r="F124" s="94"/>
      <c r="G124" s="94"/>
      <c r="H124" s="94"/>
      <c r="I124" s="94"/>
      <c r="J124" s="94"/>
      <c r="K124" s="94"/>
      <c r="L124" s="94">
        <v>2</v>
      </c>
      <c r="M124" s="94"/>
      <c r="N124" s="94"/>
      <c r="O124" s="94"/>
      <c r="P124" s="94">
        <f t="shared" si="117"/>
        <v>2</v>
      </c>
      <c r="Q124" s="94">
        <f t="shared" si="118"/>
        <v>4</v>
      </c>
      <c r="R124" s="95">
        <v>50</v>
      </c>
      <c r="S124" s="96">
        <f t="shared" si="119"/>
        <v>200</v>
      </c>
      <c r="U124" s="97">
        <v>14</v>
      </c>
      <c r="V124" s="97">
        <f t="shared" si="120"/>
        <v>18</v>
      </c>
      <c r="W124" s="98">
        <f t="shared" si="121"/>
        <v>0</v>
      </c>
      <c r="X124" s="98">
        <f t="shared" si="122"/>
        <v>0</v>
      </c>
      <c r="Y124" s="98">
        <f t="shared" si="123"/>
        <v>0</v>
      </c>
      <c r="Z124" s="98">
        <f t="shared" si="124"/>
        <v>0</v>
      </c>
      <c r="AA124" s="98">
        <f t="shared" si="125"/>
        <v>0</v>
      </c>
      <c r="AB124" s="98">
        <f t="shared" si="126"/>
        <v>100</v>
      </c>
      <c r="AC124" s="98">
        <f t="shared" si="127"/>
        <v>0</v>
      </c>
      <c r="AD124" s="98">
        <f t="shared" si="128"/>
        <v>0</v>
      </c>
      <c r="AE124" s="98">
        <f t="shared" si="129"/>
        <v>0</v>
      </c>
      <c r="AF124" s="98">
        <f t="shared" si="130"/>
        <v>100</v>
      </c>
    </row>
    <row r="125" spans="1:32" s="97" customFormat="1" x14ac:dyDescent="0.3">
      <c r="A125" s="92" t="s">
        <v>37</v>
      </c>
      <c r="B125" s="93" t="s">
        <v>294</v>
      </c>
      <c r="C125" s="87" t="s">
        <v>370</v>
      </c>
      <c r="D125" s="93" t="s">
        <v>7</v>
      </c>
      <c r="E125" s="94">
        <v>0</v>
      </c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>
        <f t="shared" si="117"/>
        <v>0</v>
      </c>
      <c r="Q125" s="94">
        <f t="shared" si="118"/>
        <v>0</v>
      </c>
      <c r="R125" s="95">
        <v>50</v>
      </c>
      <c r="S125" s="96">
        <v>50</v>
      </c>
      <c r="U125" s="97">
        <v>0</v>
      </c>
      <c r="V125" s="97">
        <f t="shared" si="120"/>
        <v>0</v>
      </c>
      <c r="W125" s="98">
        <f t="shared" si="121"/>
        <v>0</v>
      </c>
      <c r="X125" s="98">
        <f t="shared" si="122"/>
        <v>0</v>
      </c>
      <c r="Y125" s="98">
        <f t="shared" si="123"/>
        <v>0</v>
      </c>
      <c r="Z125" s="98">
        <f t="shared" si="124"/>
        <v>0</v>
      </c>
      <c r="AA125" s="98">
        <f t="shared" si="125"/>
        <v>0</v>
      </c>
      <c r="AB125" s="98">
        <f t="shared" si="126"/>
        <v>0</v>
      </c>
      <c r="AC125" s="98">
        <f t="shared" si="127"/>
        <v>0</v>
      </c>
      <c r="AD125" s="98">
        <f t="shared" si="128"/>
        <v>0</v>
      </c>
      <c r="AE125" s="98">
        <f t="shared" si="129"/>
        <v>0</v>
      </c>
      <c r="AF125" s="98">
        <f t="shared" si="130"/>
        <v>0</v>
      </c>
    </row>
    <row r="126" spans="1:32" s="97" customFormat="1" x14ac:dyDescent="0.3">
      <c r="A126" s="92" t="s">
        <v>37</v>
      </c>
      <c r="B126" s="93" t="s">
        <v>295</v>
      </c>
      <c r="C126" s="87" t="s">
        <v>370</v>
      </c>
      <c r="D126" s="93" t="s">
        <v>8</v>
      </c>
      <c r="E126" s="94">
        <v>0</v>
      </c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>
        <f t="shared" si="117"/>
        <v>0</v>
      </c>
      <c r="Q126" s="94">
        <f t="shared" si="118"/>
        <v>0</v>
      </c>
      <c r="R126" s="95">
        <v>3</v>
      </c>
      <c r="S126" s="96">
        <f t="shared" si="119"/>
        <v>0</v>
      </c>
      <c r="U126" s="94">
        <v>0</v>
      </c>
      <c r="V126" s="97">
        <f t="shared" si="120"/>
        <v>0</v>
      </c>
      <c r="W126" s="98">
        <f t="shared" si="121"/>
        <v>0</v>
      </c>
      <c r="X126" s="98">
        <f t="shared" si="122"/>
        <v>0</v>
      </c>
      <c r="Y126" s="98">
        <f t="shared" si="123"/>
        <v>0</v>
      </c>
      <c r="Z126" s="98">
        <f t="shared" si="124"/>
        <v>0</v>
      </c>
      <c r="AA126" s="98">
        <f t="shared" si="125"/>
        <v>0</v>
      </c>
      <c r="AB126" s="98">
        <f t="shared" si="126"/>
        <v>0</v>
      </c>
      <c r="AC126" s="98">
        <f t="shared" si="127"/>
        <v>0</v>
      </c>
      <c r="AD126" s="98">
        <f t="shared" si="128"/>
        <v>0</v>
      </c>
      <c r="AE126" s="98">
        <f t="shared" si="129"/>
        <v>0</v>
      </c>
      <c r="AF126" s="98">
        <f t="shared" si="130"/>
        <v>0</v>
      </c>
    </row>
    <row r="127" spans="1:32" s="12" customFormat="1" x14ac:dyDescent="0.3">
      <c r="A127" s="7" t="s">
        <v>37</v>
      </c>
      <c r="B127" s="8" t="s">
        <v>296</v>
      </c>
      <c r="C127" s="87" t="s">
        <v>370</v>
      </c>
      <c r="D127" s="8" t="s">
        <v>355</v>
      </c>
      <c r="E127" s="9">
        <v>1</v>
      </c>
      <c r="F127" s="9"/>
      <c r="G127" s="9">
        <v>1</v>
      </c>
      <c r="H127" s="9"/>
      <c r="I127" s="9"/>
      <c r="J127" s="9"/>
      <c r="K127" s="9"/>
      <c r="L127" s="9"/>
      <c r="M127" s="9"/>
      <c r="N127" s="9"/>
      <c r="O127" s="9"/>
      <c r="P127" s="9">
        <f t="shared" si="117"/>
        <v>1</v>
      </c>
      <c r="Q127" s="9">
        <f t="shared" si="118"/>
        <v>0</v>
      </c>
      <c r="R127" s="10">
        <v>45</v>
      </c>
      <c r="S127" s="11">
        <f t="shared" si="119"/>
        <v>0</v>
      </c>
      <c r="U127" s="9">
        <v>0</v>
      </c>
      <c r="V127" s="39">
        <f t="shared" si="120"/>
        <v>0</v>
      </c>
      <c r="W127" s="45">
        <f t="shared" si="121"/>
        <v>45</v>
      </c>
      <c r="X127" s="45">
        <f t="shared" si="122"/>
        <v>0</v>
      </c>
      <c r="Y127" s="45">
        <f t="shared" si="123"/>
        <v>0</v>
      </c>
      <c r="Z127" s="45">
        <f t="shared" si="124"/>
        <v>0</v>
      </c>
      <c r="AA127" s="45">
        <f t="shared" si="125"/>
        <v>0</v>
      </c>
      <c r="AB127" s="45">
        <f t="shared" si="126"/>
        <v>0</v>
      </c>
      <c r="AC127" s="45">
        <f t="shared" si="127"/>
        <v>0</v>
      </c>
      <c r="AD127" s="45">
        <f t="shared" si="128"/>
        <v>0</v>
      </c>
      <c r="AE127" s="45">
        <f t="shared" si="129"/>
        <v>0</v>
      </c>
      <c r="AF127" s="45">
        <f t="shared" si="130"/>
        <v>45</v>
      </c>
    </row>
    <row r="128" spans="1:32" s="12" customFormat="1" x14ac:dyDescent="0.3">
      <c r="A128" s="7" t="s">
        <v>37</v>
      </c>
      <c r="B128" s="8" t="s">
        <v>297</v>
      </c>
      <c r="C128" s="87" t="s">
        <v>370</v>
      </c>
      <c r="D128" s="8" t="s">
        <v>349</v>
      </c>
      <c r="E128" s="9">
        <v>0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>
        <f t="shared" ref="P128" si="131">SUM(G128:O128)</f>
        <v>0</v>
      </c>
      <c r="Q128" s="9">
        <f t="shared" ref="Q128" si="132">E128+F128-P128</f>
        <v>0</v>
      </c>
      <c r="R128" s="10">
        <v>500</v>
      </c>
      <c r="S128" s="11">
        <f t="shared" ref="S128:S137" si="133">Q128*R128</f>
        <v>0</v>
      </c>
      <c r="U128" s="9">
        <v>0</v>
      </c>
      <c r="V128" s="39">
        <f t="shared" si="120"/>
        <v>0</v>
      </c>
      <c r="W128" s="45">
        <f t="shared" ref="W128" si="134">G128*$R128</f>
        <v>0</v>
      </c>
      <c r="X128" s="45">
        <f t="shared" ref="X128" si="135">H128*$R128</f>
        <v>0</v>
      </c>
      <c r="Y128" s="45">
        <f t="shared" ref="Y128" si="136">I128*$R128</f>
        <v>0</v>
      </c>
      <c r="Z128" s="45">
        <f t="shared" ref="Z128:Z137" si="137">J128*$R128</f>
        <v>0</v>
      </c>
      <c r="AA128" s="45">
        <f t="shared" ref="AA128:AA137" si="138">K128*$R128</f>
        <v>0</v>
      </c>
      <c r="AB128" s="45">
        <f t="shared" ref="AB128:AB137" si="139">L128*$R128</f>
        <v>0</v>
      </c>
      <c r="AC128" s="45">
        <f t="shared" ref="AC128" si="140">M128*$R128</f>
        <v>0</v>
      </c>
      <c r="AD128" s="45">
        <f t="shared" ref="AD128" si="141">N128*$R128</f>
        <v>0</v>
      </c>
      <c r="AE128" s="45">
        <f t="shared" ref="AE128" si="142">O128*$R128</f>
        <v>0</v>
      </c>
      <c r="AF128" s="45">
        <f t="shared" ref="AF128" si="143">P128*$R128</f>
        <v>0</v>
      </c>
    </row>
    <row r="129" spans="1:32" s="12" customFormat="1" x14ac:dyDescent="0.3">
      <c r="A129" s="7" t="s">
        <v>37</v>
      </c>
      <c r="B129" s="8" t="s">
        <v>298</v>
      </c>
      <c r="C129" s="87" t="s">
        <v>370</v>
      </c>
      <c r="D129" s="8" t="s">
        <v>356</v>
      </c>
      <c r="E129" s="9">
        <v>3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>
        <f>SUM(G129:O129)</f>
        <v>0</v>
      </c>
      <c r="Q129" s="9">
        <f>E129+F129-P129</f>
        <v>3</v>
      </c>
      <c r="R129" s="10">
        <v>750</v>
      </c>
      <c r="S129" s="11">
        <f>Q129*R129</f>
        <v>2250</v>
      </c>
      <c r="U129" s="9">
        <v>1</v>
      </c>
      <c r="V129" s="39">
        <f>Q129+U129</f>
        <v>4</v>
      </c>
      <c r="W129" s="45">
        <f t="shared" ref="W129:AF129" si="144">G129*$R129</f>
        <v>0</v>
      </c>
      <c r="X129" s="45">
        <f t="shared" si="144"/>
        <v>0</v>
      </c>
      <c r="Y129" s="45">
        <f t="shared" si="144"/>
        <v>0</v>
      </c>
      <c r="Z129" s="45">
        <f t="shared" si="144"/>
        <v>0</v>
      </c>
      <c r="AA129" s="45">
        <f t="shared" si="144"/>
        <v>0</v>
      </c>
      <c r="AB129" s="45">
        <f t="shared" si="144"/>
        <v>0</v>
      </c>
      <c r="AC129" s="45">
        <f t="shared" si="144"/>
        <v>0</v>
      </c>
      <c r="AD129" s="45">
        <f t="shared" si="144"/>
        <v>0</v>
      </c>
      <c r="AE129" s="45">
        <f t="shared" si="144"/>
        <v>0</v>
      </c>
      <c r="AF129" s="45">
        <f t="shared" si="144"/>
        <v>0</v>
      </c>
    </row>
    <row r="130" spans="1:32" s="31" customFormat="1" x14ac:dyDescent="0.3">
      <c r="A130" s="28"/>
      <c r="B130" s="29" t="s">
        <v>45</v>
      </c>
      <c r="C130" s="29"/>
      <c r="D130" s="29" t="s">
        <v>106</v>
      </c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30"/>
      <c r="S130" s="11"/>
      <c r="V130" s="39"/>
      <c r="W130" s="45"/>
      <c r="X130" s="45"/>
      <c r="Y130" s="45"/>
      <c r="Z130" s="45">
        <f t="shared" si="137"/>
        <v>0</v>
      </c>
      <c r="AA130" s="45">
        <f t="shared" si="138"/>
        <v>0</v>
      </c>
      <c r="AB130" s="45">
        <f t="shared" si="139"/>
        <v>0</v>
      </c>
      <c r="AC130" s="45"/>
      <c r="AD130" s="45"/>
      <c r="AE130" s="45"/>
      <c r="AF130" s="37"/>
    </row>
    <row r="131" spans="1:32" s="12" customFormat="1" x14ac:dyDescent="0.3">
      <c r="A131" s="7" t="s">
        <v>36</v>
      </c>
      <c r="B131" s="8" t="s">
        <v>299</v>
      </c>
      <c r="C131" s="87" t="s">
        <v>370</v>
      </c>
      <c r="D131" s="8" t="s">
        <v>107</v>
      </c>
      <c r="E131" s="9">
        <v>65</v>
      </c>
      <c r="F131" s="9"/>
      <c r="G131" s="9">
        <v>2</v>
      </c>
      <c r="H131" s="9">
        <v>1</v>
      </c>
      <c r="I131" s="9"/>
      <c r="J131" s="9"/>
      <c r="K131" s="9">
        <v>1</v>
      </c>
      <c r="L131" s="9">
        <v>1</v>
      </c>
      <c r="M131" s="9"/>
      <c r="N131" s="9">
        <v>1</v>
      </c>
      <c r="O131" s="9">
        <v>6</v>
      </c>
      <c r="P131" s="9">
        <f t="shared" ref="P131:P134" si="145">SUM(G131:O131)</f>
        <v>12</v>
      </c>
      <c r="Q131" s="9">
        <f t="shared" ref="Q131:Q162" si="146">E131+F131-P131</f>
        <v>53</v>
      </c>
      <c r="R131" s="10">
        <v>62.5</v>
      </c>
      <c r="S131" s="11">
        <f t="shared" si="133"/>
        <v>3312.5</v>
      </c>
      <c r="U131" s="9">
        <v>0</v>
      </c>
      <c r="V131" s="39">
        <f t="shared" ref="V131:V160" si="147">Q131+U131</f>
        <v>53</v>
      </c>
      <c r="W131" s="45">
        <f t="shared" ref="W131:W159" si="148">G131*$R131</f>
        <v>125</v>
      </c>
      <c r="X131" s="45">
        <f t="shared" ref="X131:X159" si="149">H131*$R131</f>
        <v>62.5</v>
      </c>
      <c r="Y131" s="45">
        <f t="shared" ref="Y131:Y159" si="150">I131*$R131</f>
        <v>0</v>
      </c>
      <c r="Z131" s="45">
        <f t="shared" si="137"/>
        <v>0</v>
      </c>
      <c r="AA131" s="45">
        <f t="shared" si="138"/>
        <v>62.5</v>
      </c>
      <c r="AB131" s="45">
        <f t="shared" si="139"/>
        <v>62.5</v>
      </c>
      <c r="AC131" s="45">
        <f t="shared" ref="AC131:AC159" si="151">M131*$R131</f>
        <v>0</v>
      </c>
      <c r="AD131" s="45">
        <f t="shared" ref="AD131:AD158" si="152">N131*$R131</f>
        <v>62.5</v>
      </c>
      <c r="AE131" s="45">
        <f t="shared" ref="AE131:AE158" si="153">O131*$R131</f>
        <v>375</v>
      </c>
      <c r="AF131" s="37">
        <f t="shared" ref="AF131:AF162" si="154">$P131*$R131</f>
        <v>750</v>
      </c>
    </row>
    <row r="132" spans="1:32" s="12" customFormat="1" x14ac:dyDescent="0.3">
      <c r="A132" s="7" t="s">
        <v>36</v>
      </c>
      <c r="B132" s="8" t="s">
        <v>300</v>
      </c>
      <c r="C132" s="87" t="s">
        <v>370</v>
      </c>
      <c r="D132" s="8" t="s">
        <v>108</v>
      </c>
      <c r="E132" s="9">
        <v>30</v>
      </c>
      <c r="F132" s="9"/>
      <c r="G132" s="9">
        <v>4</v>
      </c>
      <c r="H132" s="9"/>
      <c r="I132" s="9"/>
      <c r="J132" s="9">
        <v>2</v>
      </c>
      <c r="K132" s="9"/>
      <c r="L132" s="9"/>
      <c r="M132" s="9"/>
      <c r="N132" s="9"/>
      <c r="O132" s="9"/>
      <c r="P132" s="9">
        <f t="shared" si="145"/>
        <v>6</v>
      </c>
      <c r="Q132" s="9">
        <f t="shared" si="146"/>
        <v>24</v>
      </c>
      <c r="R132" s="10">
        <v>69</v>
      </c>
      <c r="S132" s="11">
        <f t="shared" si="133"/>
        <v>1656</v>
      </c>
      <c r="U132" s="9">
        <v>0</v>
      </c>
      <c r="V132" s="39">
        <f t="shared" si="147"/>
        <v>24</v>
      </c>
      <c r="W132" s="45">
        <f t="shared" si="148"/>
        <v>276</v>
      </c>
      <c r="X132" s="45">
        <f t="shared" si="149"/>
        <v>0</v>
      </c>
      <c r="Y132" s="45">
        <f t="shared" si="150"/>
        <v>0</v>
      </c>
      <c r="Z132" s="45">
        <f t="shared" si="137"/>
        <v>138</v>
      </c>
      <c r="AA132" s="45">
        <f t="shared" si="138"/>
        <v>0</v>
      </c>
      <c r="AB132" s="45">
        <f t="shared" si="139"/>
        <v>0</v>
      </c>
      <c r="AC132" s="45">
        <f t="shared" si="151"/>
        <v>0</v>
      </c>
      <c r="AD132" s="45">
        <f t="shared" si="152"/>
        <v>0</v>
      </c>
      <c r="AE132" s="45">
        <f t="shared" si="153"/>
        <v>0</v>
      </c>
      <c r="AF132" s="37">
        <f t="shared" si="154"/>
        <v>414</v>
      </c>
    </row>
    <row r="133" spans="1:32" s="12" customFormat="1" x14ac:dyDescent="0.3">
      <c r="A133" s="7" t="s">
        <v>36</v>
      </c>
      <c r="B133" s="8" t="s">
        <v>301</v>
      </c>
      <c r="C133" s="87" t="s">
        <v>370</v>
      </c>
      <c r="D133" s="8" t="s">
        <v>109</v>
      </c>
      <c r="E133" s="9">
        <v>27</v>
      </c>
      <c r="F133" s="9"/>
      <c r="G133" s="9">
        <v>4</v>
      </c>
      <c r="H133" s="9"/>
      <c r="I133" s="9"/>
      <c r="J133" s="9"/>
      <c r="K133" s="9"/>
      <c r="L133" s="9"/>
      <c r="M133" s="9"/>
      <c r="N133" s="9"/>
      <c r="O133" s="9"/>
      <c r="P133" s="9">
        <f t="shared" si="145"/>
        <v>4</v>
      </c>
      <c r="Q133" s="9">
        <f t="shared" si="146"/>
        <v>23</v>
      </c>
      <c r="R133" s="10">
        <v>250</v>
      </c>
      <c r="S133" s="11">
        <f t="shared" si="133"/>
        <v>5750</v>
      </c>
      <c r="U133" s="9">
        <v>0</v>
      </c>
      <c r="V133" s="39">
        <f t="shared" si="147"/>
        <v>23</v>
      </c>
      <c r="W133" s="45">
        <f t="shared" si="148"/>
        <v>1000</v>
      </c>
      <c r="X133" s="45">
        <f t="shared" si="149"/>
        <v>0</v>
      </c>
      <c r="Y133" s="45">
        <f t="shared" si="150"/>
        <v>0</v>
      </c>
      <c r="Z133" s="45">
        <f t="shared" si="137"/>
        <v>0</v>
      </c>
      <c r="AA133" s="45">
        <f t="shared" si="138"/>
        <v>0</v>
      </c>
      <c r="AB133" s="45">
        <f t="shared" si="139"/>
        <v>0</v>
      </c>
      <c r="AC133" s="45">
        <f t="shared" si="151"/>
        <v>0</v>
      </c>
      <c r="AD133" s="45">
        <f t="shared" si="152"/>
        <v>0</v>
      </c>
      <c r="AE133" s="45">
        <f t="shared" si="153"/>
        <v>0</v>
      </c>
      <c r="AF133" s="37">
        <f t="shared" si="154"/>
        <v>1000</v>
      </c>
    </row>
    <row r="134" spans="1:32" s="12" customFormat="1" x14ac:dyDescent="0.3">
      <c r="A134" s="7" t="s">
        <v>36</v>
      </c>
      <c r="B134" s="8" t="s">
        <v>302</v>
      </c>
      <c r="C134" s="87" t="s">
        <v>370</v>
      </c>
      <c r="D134" s="8" t="s">
        <v>110</v>
      </c>
      <c r="E134" s="9">
        <v>27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>
        <f t="shared" si="145"/>
        <v>0</v>
      </c>
      <c r="Q134" s="9">
        <f t="shared" si="146"/>
        <v>27</v>
      </c>
      <c r="R134" s="10">
        <v>123</v>
      </c>
      <c r="S134" s="11">
        <f t="shared" si="133"/>
        <v>3321</v>
      </c>
      <c r="U134" s="9">
        <v>0</v>
      </c>
      <c r="V134" s="39">
        <f t="shared" si="147"/>
        <v>27</v>
      </c>
      <c r="W134" s="45">
        <f t="shared" si="148"/>
        <v>0</v>
      </c>
      <c r="X134" s="45">
        <f t="shared" si="149"/>
        <v>0</v>
      </c>
      <c r="Y134" s="45">
        <f t="shared" si="150"/>
        <v>0</v>
      </c>
      <c r="Z134" s="45">
        <f t="shared" si="137"/>
        <v>0</v>
      </c>
      <c r="AA134" s="45">
        <f t="shared" si="138"/>
        <v>0</v>
      </c>
      <c r="AB134" s="45">
        <f t="shared" si="139"/>
        <v>0</v>
      </c>
      <c r="AC134" s="45">
        <f t="shared" si="151"/>
        <v>0</v>
      </c>
      <c r="AD134" s="45">
        <f t="shared" si="152"/>
        <v>0</v>
      </c>
      <c r="AE134" s="45">
        <f t="shared" si="153"/>
        <v>0</v>
      </c>
      <c r="AF134" s="37">
        <f t="shared" si="154"/>
        <v>0</v>
      </c>
    </row>
    <row r="135" spans="1:32" s="39" customFormat="1" x14ac:dyDescent="0.3">
      <c r="A135" s="49" t="s">
        <v>36</v>
      </c>
      <c r="B135" s="50" t="s">
        <v>304</v>
      </c>
      <c r="C135" s="50" t="s">
        <v>22</v>
      </c>
      <c r="D135" s="50" t="s">
        <v>305</v>
      </c>
      <c r="E135" s="51">
        <v>22</v>
      </c>
      <c r="F135" s="51">
        <v>20</v>
      </c>
      <c r="G135" s="51"/>
      <c r="H135" s="51"/>
      <c r="I135" s="51">
        <v>1</v>
      </c>
      <c r="J135" s="51">
        <v>1</v>
      </c>
      <c r="K135" s="51">
        <v>1</v>
      </c>
      <c r="L135" s="51">
        <v>2</v>
      </c>
      <c r="M135" s="51">
        <v>2</v>
      </c>
      <c r="N135" s="51">
        <v>1</v>
      </c>
      <c r="O135" s="51">
        <v>2</v>
      </c>
      <c r="P135" s="51">
        <f t="shared" ref="P135:P162" si="155">SUM(G135:O135)</f>
        <v>10</v>
      </c>
      <c r="Q135" s="51">
        <f t="shared" si="146"/>
        <v>32</v>
      </c>
      <c r="R135" s="52">
        <v>28</v>
      </c>
      <c r="S135" s="53">
        <f t="shared" si="133"/>
        <v>896</v>
      </c>
      <c r="U135" s="51">
        <v>0</v>
      </c>
      <c r="V135" s="39">
        <f t="shared" si="147"/>
        <v>32</v>
      </c>
      <c r="W135" s="54">
        <f t="shared" si="148"/>
        <v>0</v>
      </c>
      <c r="X135" s="54">
        <f t="shared" si="149"/>
        <v>0</v>
      </c>
      <c r="Y135" s="54">
        <f t="shared" si="150"/>
        <v>28</v>
      </c>
      <c r="Z135" s="54">
        <f t="shared" si="137"/>
        <v>28</v>
      </c>
      <c r="AA135" s="54">
        <f t="shared" si="138"/>
        <v>28</v>
      </c>
      <c r="AB135" s="54">
        <f t="shared" si="139"/>
        <v>56</v>
      </c>
      <c r="AC135" s="54">
        <f t="shared" si="151"/>
        <v>56</v>
      </c>
      <c r="AD135" s="54">
        <f t="shared" si="152"/>
        <v>28</v>
      </c>
      <c r="AE135" s="54">
        <f t="shared" si="153"/>
        <v>56</v>
      </c>
      <c r="AF135" s="55">
        <f t="shared" si="154"/>
        <v>280</v>
      </c>
    </row>
    <row r="136" spans="1:32" s="39" customFormat="1" x14ac:dyDescent="0.3">
      <c r="A136" s="49" t="s">
        <v>36</v>
      </c>
      <c r="B136" s="50" t="s">
        <v>303</v>
      </c>
      <c r="C136" s="50" t="s">
        <v>22</v>
      </c>
      <c r="D136" s="50" t="s">
        <v>306</v>
      </c>
      <c r="E136" s="51">
        <v>68</v>
      </c>
      <c r="F136" s="51"/>
      <c r="G136" s="51">
        <v>3</v>
      </c>
      <c r="H136" s="51"/>
      <c r="I136" s="51"/>
      <c r="J136" s="51">
        <v>1</v>
      </c>
      <c r="K136" s="51"/>
      <c r="L136" s="51"/>
      <c r="M136" s="51"/>
      <c r="N136" s="51"/>
      <c r="O136" s="51"/>
      <c r="P136" s="51">
        <f t="shared" si="155"/>
        <v>4</v>
      </c>
      <c r="Q136" s="51">
        <f t="shared" si="146"/>
        <v>64</v>
      </c>
      <c r="R136" s="52">
        <v>40</v>
      </c>
      <c r="S136" s="53">
        <f t="shared" si="133"/>
        <v>2560</v>
      </c>
      <c r="U136" s="51">
        <v>0</v>
      </c>
      <c r="V136" s="39">
        <f t="shared" si="147"/>
        <v>64</v>
      </c>
      <c r="W136" s="54">
        <f t="shared" si="148"/>
        <v>120</v>
      </c>
      <c r="X136" s="54">
        <f t="shared" si="149"/>
        <v>0</v>
      </c>
      <c r="Y136" s="54">
        <f t="shared" si="150"/>
        <v>0</v>
      </c>
      <c r="Z136" s="54">
        <f t="shared" si="137"/>
        <v>40</v>
      </c>
      <c r="AA136" s="54">
        <f t="shared" si="138"/>
        <v>0</v>
      </c>
      <c r="AB136" s="54">
        <f t="shared" si="139"/>
        <v>0</v>
      </c>
      <c r="AC136" s="54">
        <f t="shared" si="151"/>
        <v>0</v>
      </c>
      <c r="AD136" s="54">
        <f t="shared" si="152"/>
        <v>0</v>
      </c>
      <c r="AE136" s="54">
        <f t="shared" si="153"/>
        <v>0</v>
      </c>
      <c r="AF136" s="55">
        <f t="shared" si="154"/>
        <v>160</v>
      </c>
    </row>
    <row r="137" spans="1:32" s="39" customFormat="1" x14ac:dyDescent="0.3">
      <c r="A137" s="49" t="s">
        <v>36</v>
      </c>
      <c r="B137" s="50" t="s">
        <v>308</v>
      </c>
      <c r="C137" s="50" t="s">
        <v>22</v>
      </c>
      <c r="D137" s="50" t="s">
        <v>307</v>
      </c>
      <c r="E137" s="51">
        <v>0</v>
      </c>
      <c r="F137" s="51">
        <v>20</v>
      </c>
      <c r="G137" s="51"/>
      <c r="H137" s="51"/>
      <c r="I137" s="51">
        <v>2</v>
      </c>
      <c r="J137" s="51"/>
      <c r="K137" s="51"/>
      <c r="L137" s="51">
        <v>1</v>
      </c>
      <c r="M137" s="51">
        <v>2</v>
      </c>
      <c r="N137" s="51"/>
      <c r="O137" s="51"/>
      <c r="P137" s="51">
        <f t="shared" si="155"/>
        <v>5</v>
      </c>
      <c r="Q137" s="51">
        <f t="shared" si="146"/>
        <v>15</v>
      </c>
      <c r="R137" s="52">
        <v>55</v>
      </c>
      <c r="S137" s="53">
        <f t="shared" si="133"/>
        <v>825</v>
      </c>
      <c r="U137" s="51">
        <v>0</v>
      </c>
      <c r="V137" s="39">
        <f t="shared" si="147"/>
        <v>15</v>
      </c>
      <c r="W137" s="54">
        <f t="shared" si="148"/>
        <v>0</v>
      </c>
      <c r="X137" s="54">
        <f t="shared" si="149"/>
        <v>0</v>
      </c>
      <c r="Y137" s="54">
        <f t="shared" si="150"/>
        <v>110</v>
      </c>
      <c r="Z137" s="54">
        <f t="shared" si="137"/>
        <v>0</v>
      </c>
      <c r="AA137" s="54">
        <f t="shared" si="138"/>
        <v>0</v>
      </c>
      <c r="AB137" s="54">
        <f t="shared" si="139"/>
        <v>55</v>
      </c>
      <c r="AC137" s="54">
        <f t="shared" si="151"/>
        <v>110</v>
      </c>
      <c r="AD137" s="54">
        <f t="shared" si="152"/>
        <v>0</v>
      </c>
      <c r="AE137" s="54">
        <f t="shared" si="153"/>
        <v>0</v>
      </c>
      <c r="AF137" s="55">
        <f t="shared" si="154"/>
        <v>275</v>
      </c>
    </row>
    <row r="138" spans="1:32" s="39" customFormat="1" x14ac:dyDescent="0.3">
      <c r="A138" s="49" t="s">
        <v>36</v>
      </c>
      <c r="B138" s="50" t="s">
        <v>309</v>
      </c>
      <c r="C138" s="87" t="s">
        <v>370</v>
      </c>
      <c r="D138" s="50" t="s">
        <v>357</v>
      </c>
      <c r="E138" s="51">
        <v>7</v>
      </c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>
        <f t="shared" si="155"/>
        <v>0</v>
      </c>
      <c r="Q138" s="51">
        <f t="shared" si="146"/>
        <v>7</v>
      </c>
      <c r="R138" s="52">
        <v>100</v>
      </c>
      <c r="S138" s="53">
        <f t="shared" ref="S138:S162" si="156">Q138*R138</f>
        <v>700</v>
      </c>
      <c r="U138" s="51">
        <v>0</v>
      </c>
      <c r="V138" s="39">
        <f t="shared" si="147"/>
        <v>7</v>
      </c>
      <c r="W138" s="54">
        <f t="shared" si="148"/>
        <v>0</v>
      </c>
      <c r="X138" s="54">
        <f t="shared" si="149"/>
        <v>0</v>
      </c>
      <c r="Y138" s="54">
        <f t="shared" si="150"/>
        <v>0</v>
      </c>
      <c r="Z138" s="54">
        <f t="shared" ref="Z138:AA162" si="157">J138*$R138</f>
        <v>0</v>
      </c>
      <c r="AA138" s="54">
        <f t="shared" ref="AA138:AA162" si="158">K138*$R138</f>
        <v>0</v>
      </c>
      <c r="AB138" s="54">
        <f t="shared" ref="AB138:AB162" si="159">L138*$R138</f>
        <v>0</v>
      </c>
      <c r="AC138" s="54">
        <f t="shared" si="151"/>
        <v>0</v>
      </c>
      <c r="AD138" s="54">
        <f t="shared" si="152"/>
        <v>0</v>
      </c>
      <c r="AE138" s="54">
        <f t="shared" si="153"/>
        <v>0</v>
      </c>
      <c r="AF138" s="55">
        <f t="shared" si="154"/>
        <v>0</v>
      </c>
    </row>
    <row r="139" spans="1:32" s="39" customFormat="1" x14ac:dyDescent="0.3">
      <c r="A139" s="49" t="s">
        <v>36</v>
      </c>
      <c r="B139" s="50" t="s">
        <v>310</v>
      </c>
      <c r="C139" s="87" t="s">
        <v>370</v>
      </c>
      <c r="D139" s="50" t="s">
        <v>353</v>
      </c>
      <c r="E139" s="51">
        <v>10</v>
      </c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>
        <f t="shared" si="155"/>
        <v>0</v>
      </c>
      <c r="Q139" s="51">
        <f t="shared" si="146"/>
        <v>10</v>
      </c>
      <c r="R139" s="52">
        <v>35</v>
      </c>
      <c r="S139" s="53">
        <f t="shared" si="156"/>
        <v>350</v>
      </c>
      <c r="U139" s="51"/>
      <c r="V139" s="39">
        <f t="shared" si="147"/>
        <v>10</v>
      </c>
      <c r="W139" s="54">
        <f t="shared" si="148"/>
        <v>0</v>
      </c>
      <c r="X139" s="54">
        <f t="shared" si="149"/>
        <v>0</v>
      </c>
      <c r="Y139" s="54">
        <f t="shared" si="150"/>
        <v>0</v>
      </c>
      <c r="Z139" s="54">
        <f t="shared" si="157"/>
        <v>0</v>
      </c>
      <c r="AA139" s="54">
        <f t="shared" si="158"/>
        <v>0</v>
      </c>
      <c r="AB139" s="54">
        <f t="shared" si="159"/>
        <v>0</v>
      </c>
      <c r="AC139" s="54">
        <f t="shared" si="151"/>
        <v>0</v>
      </c>
      <c r="AD139" s="54">
        <f t="shared" si="152"/>
        <v>0</v>
      </c>
      <c r="AE139" s="54">
        <f t="shared" si="153"/>
        <v>0</v>
      </c>
      <c r="AF139" s="55">
        <f t="shared" si="154"/>
        <v>0</v>
      </c>
    </row>
    <row r="140" spans="1:32" s="39" customFormat="1" x14ac:dyDescent="0.3">
      <c r="A140" s="49" t="s">
        <v>36</v>
      </c>
      <c r="B140" s="50" t="s">
        <v>311</v>
      </c>
      <c r="C140" s="87" t="s">
        <v>370</v>
      </c>
      <c r="D140" s="50" t="s">
        <v>313</v>
      </c>
      <c r="E140" s="51">
        <v>5</v>
      </c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>
        <f t="shared" si="155"/>
        <v>0</v>
      </c>
      <c r="Q140" s="51">
        <f t="shared" si="146"/>
        <v>5</v>
      </c>
      <c r="R140" s="52">
        <v>120</v>
      </c>
      <c r="S140" s="53">
        <f t="shared" si="156"/>
        <v>600</v>
      </c>
      <c r="U140" s="51"/>
      <c r="V140" s="39">
        <f t="shared" si="147"/>
        <v>5</v>
      </c>
      <c r="W140" s="54">
        <f t="shared" si="148"/>
        <v>0</v>
      </c>
      <c r="X140" s="54">
        <f t="shared" si="149"/>
        <v>0</v>
      </c>
      <c r="Y140" s="54">
        <f t="shared" si="150"/>
        <v>0</v>
      </c>
      <c r="Z140" s="54">
        <f t="shared" si="157"/>
        <v>0</v>
      </c>
      <c r="AA140" s="54">
        <f t="shared" si="158"/>
        <v>0</v>
      </c>
      <c r="AB140" s="54">
        <f t="shared" si="159"/>
        <v>0</v>
      </c>
      <c r="AC140" s="54">
        <f t="shared" si="151"/>
        <v>0</v>
      </c>
      <c r="AD140" s="54">
        <f t="shared" si="152"/>
        <v>0</v>
      </c>
      <c r="AE140" s="54">
        <f t="shared" si="153"/>
        <v>0</v>
      </c>
      <c r="AF140" s="55">
        <f t="shared" si="154"/>
        <v>0</v>
      </c>
    </row>
    <row r="141" spans="1:32" s="39" customFormat="1" x14ac:dyDescent="0.3">
      <c r="A141" s="49" t="s">
        <v>36</v>
      </c>
      <c r="B141" s="50" t="s">
        <v>312</v>
      </c>
      <c r="C141" s="87" t="s">
        <v>370</v>
      </c>
      <c r="D141" s="50" t="s">
        <v>314</v>
      </c>
      <c r="E141" s="51">
        <v>3</v>
      </c>
      <c r="F141" s="51"/>
      <c r="G141" s="51"/>
      <c r="H141" s="51"/>
      <c r="I141" s="51">
        <v>2</v>
      </c>
      <c r="J141" s="51"/>
      <c r="K141" s="51"/>
      <c r="L141" s="51"/>
      <c r="M141" s="51"/>
      <c r="N141" s="51"/>
      <c r="O141" s="51"/>
      <c r="P141" s="51">
        <f t="shared" si="155"/>
        <v>2</v>
      </c>
      <c r="Q141" s="51">
        <f t="shared" si="146"/>
        <v>1</v>
      </c>
      <c r="R141" s="52">
        <v>45</v>
      </c>
      <c r="S141" s="53">
        <f t="shared" si="156"/>
        <v>45</v>
      </c>
      <c r="U141" s="51"/>
      <c r="V141" s="39">
        <f t="shared" si="147"/>
        <v>1</v>
      </c>
      <c r="W141" s="54">
        <f t="shared" si="148"/>
        <v>0</v>
      </c>
      <c r="X141" s="54">
        <f t="shared" si="149"/>
        <v>0</v>
      </c>
      <c r="Y141" s="54">
        <f t="shared" si="150"/>
        <v>90</v>
      </c>
      <c r="Z141" s="54">
        <f t="shared" si="157"/>
        <v>0</v>
      </c>
      <c r="AA141" s="54">
        <f t="shared" si="157"/>
        <v>0</v>
      </c>
      <c r="AB141" s="54">
        <f t="shared" si="159"/>
        <v>0</v>
      </c>
      <c r="AC141" s="54">
        <f t="shared" si="151"/>
        <v>0</v>
      </c>
      <c r="AD141" s="54">
        <f t="shared" si="152"/>
        <v>0</v>
      </c>
      <c r="AE141" s="54">
        <f t="shared" si="153"/>
        <v>0</v>
      </c>
      <c r="AF141" s="55">
        <f t="shared" si="154"/>
        <v>90</v>
      </c>
    </row>
    <row r="142" spans="1:32" s="39" customFormat="1" x14ac:dyDescent="0.3">
      <c r="A142" s="49" t="s">
        <v>36</v>
      </c>
      <c r="B142" s="50" t="s">
        <v>86</v>
      </c>
      <c r="C142" s="87" t="s">
        <v>370</v>
      </c>
      <c r="D142" s="50" t="s">
        <v>316</v>
      </c>
      <c r="E142" s="51">
        <v>0</v>
      </c>
      <c r="F142" s="51">
        <v>20</v>
      </c>
      <c r="G142" s="51"/>
      <c r="H142" s="51"/>
      <c r="I142" s="51"/>
      <c r="J142" s="51"/>
      <c r="K142" s="51"/>
      <c r="L142" s="51"/>
      <c r="M142" s="51">
        <v>3</v>
      </c>
      <c r="N142" s="51">
        <v>6</v>
      </c>
      <c r="O142" s="51"/>
      <c r="P142" s="51">
        <f>SUM(G142:O142)</f>
        <v>9</v>
      </c>
      <c r="Q142" s="51">
        <f>E142+F142-P142</f>
        <v>11</v>
      </c>
      <c r="R142" s="52">
        <v>75</v>
      </c>
      <c r="S142" s="53">
        <f>Q142*R142</f>
        <v>825</v>
      </c>
      <c r="U142" s="51">
        <v>20</v>
      </c>
      <c r="V142" s="39">
        <f>Q142+U142</f>
        <v>31</v>
      </c>
      <c r="W142" s="54">
        <f t="shared" ref="W142:AE145" si="160">G142*$R142</f>
        <v>0</v>
      </c>
      <c r="X142" s="54">
        <f t="shared" si="160"/>
        <v>0</v>
      </c>
      <c r="Y142" s="54">
        <f t="shared" si="160"/>
        <v>0</v>
      </c>
      <c r="Z142" s="54">
        <f t="shared" si="160"/>
        <v>0</v>
      </c>
      <c r="AA142" s="54">
        <f t="shared" si="160"/>
        <v>0</v>
      </c>
      <c r="AB142" s="54">
        <f t="shared" si="160"/>
        <v>0</v>
      </c>
      <c r="AC142" s="54">
        <f t="shared" si="160"/>
        <v>225</v>
      </c>
      <c r="AD142" s="54">
        <f t="shared" si="160"/>
        <v>450</v>
      </c>
      <c r="AE142" s="54">
        <f t="shared" si="160"/>
        <v>0</v>
      </c>
      <c r="AF142" s="55">
        <f>$P142*$R142</f>
        <v>675</v>
      </c>
    </row>
    <row r="143" spans="1:32" s="39" customFormat="1" x14ac:dyDescent="0.3">
      <c r="A143" s="49" t="s">
        <v>36</v>
      </c>
      <c r="B143" s="50" t="s">
        <v>331</v>
      </c>
      <c r="C143" s="87" t="s">
        <v>370</v>
      </c>
      <c r="D143" s="50" t="s">
        <v>317</v>
      </c>
      <c r="E143" s="51">
        <v>25</v>
      </c>
      <c r="F143" s="51">
        <v>50</v>
      </c>
      <c r="G143" s="51"/>
      <c r="H143" s="51">
        <v>4</v>
      </c>
      <c r="I143" s="51">
        <v>2</v>
      </c>
      <c r="J143" s="51">
        <v>7</v>
      </c>
      <c r="K143" s="51"/>
      <c r="L143" s="51">
        <v>1</v>
      </c>
      <c r="M143" s="51">
        <v>6</v>
      </c>
      <c r="N143" s="51"/>
      <c r="O143" s="51">
        <v>2</v>
      </c>
      <c r="P143" s="51">
        <f>SUM(G143:O143)</f>
        <v>22</v>
      </c>
      <c r="Q143" s="51">
        <f>E143+F143-P143</f>
        <v>53</v>
      </c>
      <c r="R143" s="52">
        <v>2.5</v>
      </c>
      <c r="S143" s="53">
        <f>Q143*R143</f>
        <v>132.5</v>
      </c>
      <c r="U143" s="51">
        <v>31</v>
      </c>
      <c r="V143" s="39">
        <f>Q143+U143</f>
        <v>84</v>
      </c>
      <c r="W143" s="54">
        <f t="shared" si="160"/>
        <v>0</v>
      </c>
      <c r="X143" s="54">
        <f t="shared" si="160"/>
        <v>10</v>
      </c>
      <c r="Y143" s="54">
        <f t="shared" si="160"/>
        <v>5</v>
      </c>
      <c r="Z143" s="54">
        <f t="shared" si="160"/>
        <v>17.5</v>
      </c>
      <c r="AA143" s="54">
        <f t="shared" si="160"/>
        <v>0</v>
      </c>
      <c r="AB143" s="54">
        <f t="shared" si="160"/>
        <v>2.5</v>
      </c>
      <c r="AC143" s="54">
        <f t="shared" si="160"/>
        <v>15</v>
      </c>
      <c r="AD143" s="54">
        <f t="shared" si="160"/>
        <v>0</v>
      </c>
      <c r="AE143" s="54">
        <f t="shared" si="160"/>
        <v>5</v>
      </c>
      <c r="AF143" s="55">
        <f>$P143*$R143</f>
        <v>55</v>
      </c>
    </row>
    <row r="144" spans="1:32" s="39" customFormat="1" x14ac:dyDescent="0.3">
      <c r="A144" s="49" t="s">
        <v>36</v>
      </c>
      <c r="B144" s="50" t="s">
        <v>332</v>
      </c>
      <c r="C144" s="87" t="s">
        <v>370</v>
      </c>
      <c r="D144" s="50" t="s">
        <v>318</v>
      </c>
      <c r="E144" s="51">
        <v>0</v>
      </c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>
        <f>SUM(G144:O144)</f>
        <v>0</v>
      </c>
      <c r="Q144" s="51">
        <f>E144+F144-P144</f>
        <v>0</v>
      </c>
      <c r="R144" s="52">
        <v>250</v>
      </c>
      <c r="S144" s="53">
        <f>Q144*R144</f>
        <v>0</v>
      </c>
      <c r="U144" s="51">
        <v>3</v>
      </c>
      <c r="V144" s="39">
        <f>Q144+U144</f>
        <v>3</v>
      </c>
      <c r="W144" s="54">
        <f t="shared" si="160"/>
        <v>0</v>
      </c>
      <c r="X144" s="54">
        <f t="shared" si="160"/>
        <v>0</v>
      </c>
      <c r="Y144" s="54">
        <f t="shared" si="160"/>
        <v>0</v>
      </c>
      <c r="Z144" s="54">
        <f t="shared" si="160"/>
        <v>0</v>
      </c>
      <c r="AA144" s="54">
        <f t="shared" si="160"/>
        <v>0</v>
      </c>
      <c r="AB144" s="54">
        <f t="shared" si="160"/>
        <v>0</v>
      </c>
      <c r="AC144" s="54">
        <f t="shared" si="160"/>
        <v>0</v>
      </c>
      <c r="AD144" s="54">
        <f t="shared" si="160"/>
        <v>0</v>
      </c>
      <c r="AE144" s="54">
        <f t="shared" si="160"/>
        <v>0</v>
      </c>
      <c r="AF144" s="55">
        <f>$P144*$R144</f>
        <v>0</v>
      </c>
    </row>
    <row r="145" spans="1:32" s="39" customFormat="1" x14ac:dyDescent="0.3">
      <c r="A145" s="49" t="s">
        <v>36</v>
      </c>
      <c r="B145" s="50" t="s">
        <v>333</v>
      </c>
      <c r="C145" s="87" t="s">
        <v>370</v>
      </c>
      <c r="D145" s="50" t="s">
        <v>323</v>
      </c>
      <c r="E145" s="51">
        <v>24</v>
      </c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>
        <f>SUM(G145:O145)</f>
        <v>0</v>
      </c>
      <c r="Q145" s="51">
        <f>E145+F145-P145</f>
        <v>24</v>
      </c>
      <c r="R145" s="52">
        <v>130</v>
      </c>
      <c r="S145" s="53">
        <f>Q145*R145</f>
        <v>3120</v>
      </c>
      <c r="U145" s="51">
        <v>4</v>
      </c>
      <c r="V145" s="39">
        <f>Q145+U145</f>
        <v>28</v>
      </c>
      <c r="W145" s="54">
        <f t="shared" si="160"/>
        <v>0</v>
      </c>
      <c r="X145" s="54">
        <f t="shared" si="160"/>
        <v>0</v>
      </c>
      <c r="Y145" s="54">
        <f t="shared" si="160"/>
        <v>0</v>
      </c>
      <c r="Z145" s="54">
        <f t="shared" si="160"/>
        <v>0</v>
      </c>
      <c r="AA145" s="54">
        <f t="shared" si="160"/>
        <v>0</v>
      </c>
      <c r="AB145" s="54">
        <f t="shared" si="160"/>
        <v>0</v>
      </c>
      <c r="AC145" s="54">
        <f t="shared" si="160"/>
        <v>0</v>
      </c>
      <c r="AD145" s="54">
        <f t="shared" si="160"/>
        <v>0</v>
      </c>
      <c r="AE145" s="54">
        <f t="shared" si="160"/>
        <v>0</v>
      </c>
      <c r="AF145" s="55">
        <f>$P145*$R145</f>
        <v>0</v>
      </c>
    </row>
    <row r="146" spans="1:32" s="39" customFormat="1" ht="12" customHeight="1" x14ac:dyDescent="0.3">
      <c r="A146" s="49" t="s">
        <v>36</v>
      </c>
      <c r="B146" s="50" t="s">
        <v>87</v>
      </c>
      <c r="C146" s="50" t="s">
        <v>22</v>
      </c>
      <c r="D146" s="50" t="s">
        <v>315</v>
      </c>
      <c r="E146" s="51">
        <v>333</v>
      </c>
      <c r="F146" s="51"/>
      <c r="G146" s="51">
        <v>6</v>
      </c>
      <c r="H146" s="51">
        <v>16</v>
      </c>
      <c r="I146" s="51">
        <v>16</v>
      </c>
      <c r="J146" s="51">
        <v>9</v>
      </c>
      <c r="K146" s="51">
        <v>6</v>
      </c>
      <c r="L146" s="51">
        <v>11</v>
      </c>
      <c r="M146" s="51">
        <v>13</v>
      </c>
      <c r="N146" s="51">
        <v>7</v>
      </c>
      <c r="O146" s="51">
        <v>8</v>
      </c>
      <c r="P146" s="51">
        <f t="shared" si="155"/>
        <v>92</v>
      </c>
      <c r="Q146" s="51">
        <f t="shared" si="146"/>
        <v>241</v>
      </c>
      <c r="R146" s="52">
        <v>11</v>
      </c>
      <c r="S146" s="53">
        <f t="shared" si="156"/>
        <v>2651</v>
      </c>
      <c r="U146" s="51">
        <v>77</v>
      </c>
      <c r="V146" s="39">
        <f t="shared" si="147"/>
        <v>318</v>
      </c>
      <c r="W146" s="54">
        <f t="shared" si="148"/>
        <v>66</v>
      </c>
      <c r="X146" s="54">
        <f t="shared" si="149"/>
        <v>176</v>
      </c>
      <c r="Y146" s="54">
        <f t="shared" si="150"/>
        <v>176</v>
      </c>
      <c r="Z146" s="54">
        <f t="shared" si="157"/>
        <v>99</v>
      </c>
      <c r="AA146" s="54">
        <f t="shared" si="158"/>
        <v>66</v>
      </c>
      <c r="AB146" s="54">
        <f t="shared" si="159"/>
        <v>121</v>
      </c>
      <c r="AC146" s="54">
        <f t="shared" si="151"/>
        <v>143</v>
      </c>
      <c r="AD146" s="54">
        <f t="shared" si="152"/>
        <v>77</v>
      </c>
      <c r="AE146" s="54">
        <f t="shared" si="153"/>
        <v>88</v>
      </c>
      <c r="AF146" s="55">
        <f t="shared" si="154"/>
        <v>1012</v>
      </c>
    </row>
    <row r="147" spans="1:32" s="39" customFormat="1" x14ac:dyDescent="0.3">
      <c r="A147" s="49" t="s">
        <v>36</v>
      </c>
      <c r="B147" s="50" t="s">
        <v>182</v>
      </c>
      <c r="C147" s="50" t="s">
        <v>325</v>
      </c>
      <c r="D147" s="50" t="s">
        <v>2</v>
      </c>
      <c r="E147" s="51">
        <v>6</v>
      </c>
      <c r="F147" s="51"/>
      <c r="G147" s="51"/>
      <c r="H147" s="51"/>
      <c r="I147" s="51">
        <v>2</v>
      </c>
      <c r="J147" s="51"/>
      <c r="K147" s="51"/>
      <c r="L147" s="51"/>
      <c r="M147" s="51"/>
      <c r="N147" s="51"/>
      <c r="O147" s="51"/>
      <c r="P147" s="51">
        <f>SUM(G147:O147)</f>
        <v>2</v>
      </c>
      <c r="Q147" s="51">
        <f>E147+F147-P147</f>
        <v>4</v>
      </c>
      <c r="R147" s="52">
        <v>200</v>
      </c>
      <c r="S147" s="53">
        <f>Q147*R147</f>
        <v>800</v>
      </c>
      <c r="U147" s="51">
        <v>1</v>
      </c>
      <c r="V147" s="39">
        <f>Q147+U147</f>
        <v>5</v>
      </c>
      <c r="W147" s="54">
        <f t="shared" ref="W147:AE149" si="161">G147*$R147</f>
        <v>0</v>
      </c>
      <c r="X147" s="54">
        <f t="shared" si="161"/>
        <v>0</v>
      </c>
      <c r="Y147" s="54">
        <f t="shared" si="161"/>
        <v>400</v>
      </c>
      <c r="Z147" s="54">
        <f t="shared" si="161"/>
        <v>0</v>
      </c>
      <c r="AA147" s="54">
        <f t="shared" si="161"/>
        <v>0</v>
      </c>
      <c r="AB147" s="54">
        <f t="shared" si="161"/>
        <v>0</v>
      </c>
      <c r="AC147" s="54">
        <f t="shared" si="161"/>
        <v>0</v>
      </c>
      <c r="AD147" s="54">
        <f t="shared" si="161"/>
        <v>0</v>
      </c>
      <c r="AE147" s="54">
        <f t="shared" si="161"/>
        <v>0</v>
      </c>
      <c r="AF147" s="55">
        <f t="shared" ref="AF147:AF154" si="162">$P147*$R147</f>
        <v>400</v>
      </c>
    </row>
    <row r="148" spans="1:32" s="39" customFormat="1" x14ac:dyDescent="0.3">
      <c r="A148" s="49" t="s">
        <v>36</v>
      </c>
      <c r="B148" s="50" t="s">
        <v>334</v>
      </c>
      <c r="C148" s="87" t="s">
        <v>370</v>
      </c>
      <c r="D148" s="50" t="s">
        <v>319</v>
      </c>
      <c r="E148" s="51">
        <v>10</v>
      </c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>
        <f>SUM(G148:O148)</f>
        <v>0</v>
      </c>
      <c r="Q148" s="51">
        <f>E148+F148-P148</f>
        <v>10</v>
      </c>
      <c r="R148" s="52">
        <v>71</v>
      </c>
      <c r="S148" s="53">
        <f>Q148*R148</f>
        <v>710</v>
      </c>
      <c r="U148" s="51">
        <v>49</v>
      </c>
      <c r="V148" s="39">
        <f>Q148+U148</f>
        <v>59</v>
      </c>
      <c r="W148" s="54">
        <f t="shared" si="161"/>
        <v>0</v>
      </c>
      <c r="X148" s="54">
        <f t="shared" si="161"/>
        <v>0</v>
      </c>
      <c r="Y148" s="54">
        <f t="shared" si="161"/>
        <v>0</v>
      </c>
      <c r="Z148" s="54">
        <f t="shared" si="161"/>
        <v>0</v>
      </c>
      <c r="AA148" s="54">
        <f t="shared" si="161"/>
        <v>0</v>
      </c>
      <c r="AB148" s="54">
        <f t="shared" si="161"/>
        <v>0</v>
      </c>
      <c r="AC148" s="54">
        <f t="shared" si="161"/>
        <v>0</v>
      </c>
      <c r="AD148" s="54">
        <f t="shared" si="161"/>
        <v>0</v>
      </c>
      <c r="AE148" s="54">
        <f t="shared" si="161"/>
        <v>0</v>
      </c>
      <c r="AF148" s="55">
        <f t="shared" si="162"/>
        <v>0</v>
      </c>
    </row>
    <row r="149" spans="1:32" s="39" customFormat="1" x14ac:dyDescent="0.3">
      <c r="A149" s="49" t="s">
        <v>36</v>
      </c>
      <c r="B149" s="50" t="s">
        <v>335</v>
      </c>
      <c r="C149" s="50" t="s">
        <v>20</v>
      </c>
      <c r="D149" s="50" t="s">
        <v>111</v>
      </c>
      <c r="E149" s="51">
        <v>1</v>
      </c>
      <c r="F149" s="51"/>
      <c r="G149" s="51"/>
      <c r="H149" s="51"/>
      <c r="I149" s="51">
        <v>1</v>
      </c>
      <c r="J149" s="51"/>
      <c r="K149" s="51"/>
      <c r="L149" s="51"/>
      <c r="M149" s="51"/>
      <c r="N149" s="51"/>
      <c r="O149" s="51"/>
      <c r="P149" s="51">
        <f>SUM(G149:O149)</f>
        <v>1</v>
      </c>
      <c r="Q149" s="51">
        <f>E149+F149-P149</f>
        <v>0</v>
      </c>
      <c r="R149" s="52">
        <v>200</v>
      </c>
      <c r="S149" s="53">
        <f>Q149*R149</f>
        <v>0</v>
      </c>
      <c r="U149" s="51">
        <v>4</v>
      </c>
      <c r="V149" s="39">
        <f>Q149+U149</f>
        <v>4</v>
      </c>
      <c r="W149" s="54">
        <f t="shared" si="161"/>
        <v>0</v>
      </c>
      <c r="X149" s="54">
        <f t="shared" si="161"/>
        <v>0</v>
      </c>
      <c r="Y149" s="54">
        <f t="shared" si="161"/>
        <v>200</v>
      </c>
      <c r="Z149" s="54">
        <f t="shared" si="161"/>
        <v>0</v>
      </c>
      <c r="AA149" s="54">
        <f t="shared" si="161"/>
        <v>0</v>
      </c>
      <c r="AB149" s="54">
        <f t="shared" si="161"/>
        <v>0</v>
      </c>
      <c r="AC149" s="54">
        <f t="shared" si="161"/>
        <v>0</v>
      </c>
      <c r="AD149" s="54">
        <f t="shared" si="161"/>
        <v>0</v>
      </c>
      <c r="AE149" s="54">
        <f t="shared" si="161"/>
        <v>0</v>
      </c>
      <c r="AF149" s="55">
        <f t="shared" si="162"/>
        <v>200</v>
      </c>
    </row>
    <row r="150" spans="1:32" s="39" customFormat="1" x14ac:dyDescent="0.3">
      <c r="A150" s="49" t="s">
        <v>36</v>
      </c>
      <c r="B150" s="50" t="s">
        <v>336</v>
      </c>
      <c r="C150" s="50" t="s">
        <v>325</v>
      </c>
      <c r="D150" s="50" t="s">
        <v>324</v>
      </c>
      <c r="E150" s="51">
        <v>0</v>
      </c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>
        <f t="shared" si="155"/>
        <v>0</v>
      </c>
      <c r="Q150" s="51">
        <f t="shared" si="146"/>
        <v>0</v>
      </c>
      <c r="R150" s="52">
        <v>190</v>
      </c>
      <c r="S150" s="53">
        <f t="shared" si="156"/>
        <v>0</v>
      </c>
      <c r="U150" s="51"/>
      <c r="W150" s="54">
        <f t="shared" si="148"/>
        <v>0</v>
      </c>
      <c r="X150" s="54">
        <f t="shared" si="149"/>
        <v>0</v>
      </c>
      <c r="Y150" s="54">
        <f t="shared" si="150"/>
        <v>0</v>
      </c>
      <c r="Z150" s="54">
        <f t="shared" si="157"/>
        <v>0</v>
      </c>
      <c r="AA150" s="54">
        <f t="shared" si="158"/>
        <v>0</v>
      </c>
      <c r="AB150" s="54">
        <f t="shared" si="159"/>
        <v>0</v>
      </c>
      <c r="AC150" s="54">
        <f t="shared" si="151"/>
        <v>0</v>
      </c>
      <c r="AD150" s="54">
        <f t="shared" si="152"/>
        <v>0</v>
      </c>
      <c r="AE150" s="54">
        <f t="shared" si="153"/>
        <v>0</v>
      </c>
      <c r="AF150" s="55">
        <f t="shared" si="162"/>
        <v>0</v>
      </c>
    </row>
    <row r="151" spans="1:32" s="39" customFormat="1" x14ac:dyDescent="0.3">
      <c r="A151" s="49" t="s">
        <v>36</v>
      </c>
      <c r="B151" s="50" t="s">
        <v>337</v>
      </c>
      <c r="C151" s="50" t="s">
        <v>56</v>
      </c>
      <c r="D151" s="50" t="s">
        <v>112</v>
      </c>
      <c r="E151" s="51">
        <v>0</v>
      </c>
      <c r="F151" s="51">
        <v>36</v>
      </c>
      <c r="G151" s="51"/>
      <c r="H151" s="51"/>
      <c r="I151" s="51"/>
      <c r="J151" s="51"/>
      <c r="K151" s="51"/>
      <c r="L151" s="51"/>
      <c r="M151" s="51">
        <v>1</v>
      </c>
      <c r="N151" s="51"/>
      <c r="O151" s="51">
        <v>1</v>
      </c>
      <c r="P151" s="51">
        <f>SUM(G151:O151)</f>
        <v>2</v>
      </c>
      <c r="Q151" s="51">
        <f>E151+F151-P151</f>
        <v>34</v>
      </c>
      <c r="R151" s="52">
        <v>10</v>
      </c>
      <c r="S151" s="53">
        <f>Q151*R151</f>
        <v>340</v>
      </c>
      <c r="U151" s="51">
        <v>0</v>
      </c>
      <c r="V151" s="39">
        <v>1</v>
      </c>
      <c r="W151" s="54">
        <f t="shared" ref="W151:AE154" si="163">G151*$R151</f>
        <v>0</v>
      </c>
      <c r="X151" s="54">
        <f t="shared" si="163"/>
        <v>0</v>
      </c>
      <c r="Y151" s="54">
        <f t="shared" si="163"/>
        <v>0</v>
      </c>
      <c r="Z151" s="54">
        <f t="shared" si="163"/>
        <v>0</v>
      </c>
      <c r="AA151" s="54">
        <f t="shared" si="163"/>
        <v>0</v>
      </c>
      <c r="AB151" s="54">
        <f t="shared" si="163"/>
        <v>0</v>
      </c>
      <c r="AC151" s="54">
        <f t="shared" si="163"/>
        <v>10</v>
      </c>
      <c r="AD151" s="54">
        <f t="shared" si="163"/>
        <v>0</v>
      </c>
      <c r="AE151" s="54">
        <f t="shared" si="163"/>
        <v>10</v>
      </c>
      <c r="AF151" s="55">
        <f t="shared" si="162"/>
        <v>20</v>
      </c>
    </row>
    <row r="152" spans="1:32" s="39" customFormat="1" x14ac:dyDescent="0.3">
      <c r="A152" s="49" t="s">
        <v>36</v>
      </c>
      <c r="B152" s="50" t="s">
        <v>88</v>
      </c>
      <c r="C152" s="50" t="s">
        <v>56</v>
      </c>
      <c r="D152" s="50" t="s">
        <v>44</v>
      </c>
      <c r="E152" s="51">
        <v>0</v>
      </c>
      <c r="F152" s="51">
        <v>36</v>
      </c>
      <c r="G152" s="51"/>
      <c r="H152" s="51"/>
      <c r="I152" s="51"/>
      <c r="J152" s="51"/>
      <c r="K152" s="51"/>
      <c r="L152" s="51"/>
      <c r="M152" s="51">
        <v>2</v>
      </c>
      <c r="N152" s="51"/>
      <c r="O152" s="51">
        <v>1</v>
      </c>
      <c r="P152" s="51">
        <f>SUM(G152:O152)</f>
        <v>3</v>
      </c>
      <c r="Q152" s="51">
        <f>E152+F152-P152</f>
        <v>33</v>
      </c>
      <c r="R152" s="52">
        <v>8.5</v>
      </c>
      <c r="S152" s="53">
        <f>Q152*R152</f>
        <v>280.5</v>
      </c>
      <c r="U152" s="51">
        <v>20</v>
      </c>
      <c r="V152" s="39">
        <f>Q152+U152</f>
        <v>53</v>
      </c>
      <c r="W152" s="54">
        <f t="shared" si="163"/>
        <v>0</v>
      </c>
      <c r="X152" s="54">
        <f t="shared" si="163"/>
        <v>0</v>
      </c>
      <c r="Y152" s="54">
        <f t="shared" si="163"/>
        <v>0</v>
      </c>
      <c r="Z152" s="54">
        <f t="shared" si="163"/>
        <v>0</v>
      </c>
      <c r="AA152" s="54">
        <f t="shared" si="163"/>
        <v>0</v>
      </c>
      <c r="AB152" s="54">
        <f t="shared" si="163"/>
        <v>0</v>
      </c>
      <c r="AC152" s="54">
        <f t="shared" si="163"/>
        <v>17</v>
      </c>
      <c r="AD152" s="54">
        <f t="shared" si="163"/>
        <v>0</v>
      </c>
      <c r="AE152" s="54">
        <f t="shared" si="163"/>
        <v>8.5</v>
      </c>
      <c r="AF152" s="55">
        <f t="shared" si="162"/>
        <v>25.5</v>
      </c>
    </row>
    <row r="153" spans="1:32" s="39" customFormat="1" x14ac:dyDescent="0.3">
      <c r="A153" s="49" t="s">
        <v>36</v>
      </c>
      <c r="B153" s="50" t="s">
        <v>338</v>
      </c>
      <c r="C153" s="50" t="s">
        <v>325</v>
      </c>
      <c r="D153" s="50" t="s">
        <v>320</v>
      </c>
      <c r="E153" s="51">
        <v>10</v>
      </c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>
        <f>SUM(G153:O153)</f>
        <v>0</v>
      </c>
      <c r="Q153" s="51">
        <f>E153+F153-P153</f>
        <v>10</v>
      </c>
      <c r="R153" s="52">
        <v>200</v>
      </c>
      <c r="S153" s="53">
        <f>Q153*R153</f>
        <v>2000</v>
      </c>
      <c r="U153" s="51">
        <v>6</v>
      </c>
      <c r="V153" s="39">
        <f>Q153+U153</f>
        <v>16</v>
      </c>
      <c r="W153" s="54">
        <f t="shared" si="163"/>
        <v>0</v>
      </c>
      <c r="X153" s="54">
        <f t="shared" si="163"/>
        <v>0</v>
      </c>
      <c r="Y153" s="54">
        <f t="shared" si="163"/>
        <v>0</v>
      </c>
      <c r="Z153" s="54">
        <f t="shared" si="163"/>
        <v>0</v>
      </c>
      <c r="AA153" s="54">
        <f t="shared" si="163"/>
        <v>0</v>
      </c>
      <c r="AB153" s="54">
        <f t="shared" si="163"/>
        <v>0</v>
      </c>
      <c r="AC153" s="54">
        <f t="shared" si="163"/>
        <v>0</v>
      </c>
      <c r="AD153" s="54">
        <f t="shared" si="163"/>
        <v>0</v>
      </c>
      <c r="AE153" s="54">
        <f t="shared" si="163"/>
        <v>0</v>
      </c>
      <c r="AF153" s="55">
        <f t="shared" si="162"/>
        <v>0</v>
      </c>
    </row>
    <row r="154" spans="1:32" s="39" customFormat="1" x14ac:dyDescent="0.3">
      <c r="A154" s="49" t="s">
        <v>36</v>
      </c>
      <c r="B154" s="50" t="s">
        <v>339</v>
      </c>
      <c r="C154" s="87" t="s">
        <v>370</v>
      </c>
      <c r="D154" s="50" t="s">
        <v>1</v>
      </c>
      <c r="E154" s="51">
        <v>1</v>
      </c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>
        <f>SUM(G154:O154)</f>
        <v>0</v>
      </c>
      <c r="Q154" s="51">
        <f>E154+F154-P154</f>
        <v>1</v>
      </c>
      <c r="R154" s="52">
        <v>30</v>
      </c>
      <c r="S154" s="53">
        <f>Q154*R154</f>
        <v>30</v>
      </c>
      <c r="U154" s="51">
        <v>0</v>
      </c>
      <c r="V154" s="39">
        <f>Q154+U154</f>
        <v>1</v>
      </c>
      <c r="W154" s="54">
        <f t="shared" si="163"/>
        <v>0</v>
      </c>
      <c r="X154" s="54">
        <f t="shared" si="163"/>
        <v>0</v>
      </c>
      <c r="Y154" s="54">
        <f t="shared" si="163"/>
        <v>0</v>
      </c>
      <c r="Z154" s="54">
        <f t="shared" si="163"/>
        <v>0</v>
      </c>
      <c r="AA154" s="54">
        <f t="shared" si="163"/>
        <v>0</v>
      </c>
      <c r="AB154" s="54">
        <f t="shared" si="163"/>
        <v>0</v>
      </c>
      <c r="AC154" s="54">
        <f t="shared" si="163"/>
        <v>0</v>
      </c>
      <c r="AD154" s="54">
        <f t="shared" si="163"/>
        <v>0</v>
      </c>
      <c r="AE154" s="54">
        <f t="shared" si="163"/>
        <v>0</v>
      </c>
      <c r="AF154" s="55">
        <f t="shared" si="162"/>
        <v>0</v>
      </c>
    </row>
    <row r="155" spans="1:32" s="39" customFormat="1" x14ac:dyDescent="0.3">
      <c r="A155" s="49" t="s">
        <v>36</v>
      </c>
      <c r="B155" s="50" t="s">
        <v>89</v>
      </c>
      <c r="C155" s="50" t="s">
        <v>326</v>
      </c>
      <c r="D155" s="50" t="s">
        <v>330</v>
      </c>
      <c r="E155" s="51">
        <v>8</v>
      </c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>
        <f t="shared" si="155"/>
        <v>0</v>
      </c>
      <c r="Q155" s="51">
        <f t="shared" si="146"/>
        <v>8</v>
      </c>
      <c r="R155" s="52">
        <v>150</v>
      </c>
      <c r="S155" s="53">
        <f t="shared" si="156"/>
        <v>1200</v>
      </c>
      <c r="U155" s="51">
        <v>13</v>
      </c>
      <c r="V155" s="39">
        <f t="shared" si="147"/>
        <v>21</v>
      </c>
      <c r="W155" s="54">
        <f t="shared" si="148"/>
        <v>0</v>
      </c>
      <c r="X155" s="54">
        <f t="shared" si="149"/>
        <v>0</v>
      </c>
      <c r="Y155" s="54">
        <f t="shared" si="150"/>
        <v>0</v>
      </c>
      <c r="Z155" s="54">
        <f t="shared" si="157"/>
        <v>0</v>
      </c>
      <c r="AA155" s="54">
        <f t="shared" si="158"/>
        <v>0</v>
      </c>
      <c r="AB155" s="54">
        <f t="shared" si="159"/>
        <v>0</v>
      </c>
      <c r="AC155" s="54">
        <f t="shared" si="151"/>
        <v>0</v>
      </c>
      <c r="AD155" s="54">
        <f t="shared" si="152"/>
        <v>0</v>
      </c>
      <c r="AE155" s="54">
        <f t="shared" si="153"/>
        <v>0</v>
      </c>
      <c r="AF155" s="55">
        <f t="shared" si="154"/>
        <v>0</v>
      </c>
    </row>
    <row r="156" spans="1:32" s="39" customFormat="1" x14ac:dyDescent="0.3">
      <c r="A156" s="49" t="s">
        <v>36</v>
      </c>
      <c r="B156" s="50" t="s">
        <v>90</v>
      </c>
      <c r="C156" s="50" t="s">
        <v>20</v>
      </c>
      <c r="D156" s="50" t="s">
        <v>321</v>
      </c>
      <c r="E156" s="51">
        <v>4</v>
      </c>
      <c r="F156" s="51"/>
      <c r="G156" s="51"/>
      <c r="H156" s="51"/>
      <c r="I156" s="51">
        <v>1</v>
      </c>
      <c r="J156" s="51"/>
      <c r="K156" s="51"/>
      <c r="L156" s="51"/>
      <c r="M156" s="51"/>
      <c r="N156" s="51"/>
      <c r="O156" s="51"/>
      <c r="P156" s="51">
        <f>SUM(G156:O156)</f>
        <v>1</v>
      </c>
      <c r="Q156" s="51">
        <f>E156+F156-P156</f>
        <v>3</v>
      </c>
      <c r="R156" s="52">
        <v>300</v>
      </c>
      <c r="S156" s="53">
        <f>Q156*R156</f>
        <v>900</v>
      </c>
      <c r="U156" s="51">
        <v>1</v>
      </c>
      <c r="V156" s="39">
        <f>Q156+U156</f>
        <v>4</v>
      </c>
      <c r="W156" s="54">
        <f t="shared" ref="W156:AE156" si="164">G156*$R156</f>
        <v>0</v>
      </c>
      <c r="X156" s="54">
        <f t="shared" si="164"/>
        <v>0</v>
      </c>
      <c r="Y156" s="54">
        <f t="shared" si="164"/>
        <v>300</v>
      </c>
      <c r="Z156" s="54">
        <f t="shared" si="164"/>
        <v>0</v>
      </c>
      <c r="AA156" s="54">
        <f t="shared" si="164"/>
        <v>0</v>
      </c>
      <c r="AB156" s="54">
        <f t="shared" si="164"/>
        <v>0</v>
      </c>
      <c r="AC156" s="54">
        <f t="shared" si="164"/>
        <v>0</v>
      </c>
      <c r="AD156" s="54">
        <f t="shared" si="164"/>
        <v>0</v>
      </c>
      <c r="AE156" s="54">
        <f t="shared" si="164"/>
        <v>0</v>
      </c>
      <c r="AF156" s="55">
        <f>$P156*$R156</f>
        <v>300</v>
      </c>
    </row>
    <row r="157" spans="1:32" s="39" customFormat="1" x14ac:dyDescent="0.3">
      <c r="A157" s="49" t="s">
        <v>36</v>
      </c>
      <c r="B157" s="50" t="s">
        <v>91</v>
      </c>
      <c r="C157" s="50" t="s">
        <v>20</v>
      </c>
      <c r="D157" s="50" t="s">
        <v>327</v>
      </c>
      <c r="E157" s="51">
        <v>5</v>
      </c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>
        <f t="shared" si="155"/>
        <v>0</v>
      </c>
      <c r="Q157" s="51">
        <f t="shared" si="146"/>
        <v>5</v>
      </c>
      <c r="R157" s="52">
        <v>350</v>
      </c>
      <c r="S157" s="53">
        <f t="shared" si="156"/>
        <v>1750</v>
      </c>
      <c r="U157" s="51">
        <v>0</v>
      </c>
      <c r="V157" s="39">
        <f t="shared" si="147"/>
        <v>5</v>
      </c>
      <c r="W157" s="54">
        <f t="shared" si="148"/>
        <v>0</v>
      </c>
      <c r="X157" s="54">
        <f t="shared" si="149"/>
        <v>0</v>
      </c>
      <c r="Y157" s="54">
        <f t="shared" si="150"/>
        <v>0</v>
      </c>
      <c r="Z157" s="54">
        <f t="shared" si="157"/>
        <v>0</v>
      </c>
      <c r="AA157" s="54">
        <f t="shared" si="158"/>
        <v>0</v>
      </c>
      <c r="AB157" s="54">
        <f t="shared" si="159"/>
        <v>0</v>
      </c>
      <c r="AC157" s="54">
        <f t="shared" si="151"/>
        <v>0</v>
      </c>
      <c r="AD157" s="54">
        <f t="shared" si="152"/>
        <v>0</v>
      </c>
      <c r="AE157" s="54">
        <f t="shared" si="153"/>
        <v>0</v>
      </c>
      <c r="AF157" s="55">
        <f t="shared" si="154"/>
        <v>0</v>
      </c>
    </row>
    <row r="158" spans="1:32" s="39" customFormat="1" x14ac:dyDescent="0.3">
      <c r="A158" s="49" t="s">
        <v>36</v>
      </c>
      <c r="B158" s="50" t="s">
        <v>340</v>
      </c>
      <c r="C158" s="50" t="s">
        <v>20</v>
      </c>
      <c r="D158" s="50" t="s">
        <v>328</v>
      </c>
      <c r="E158" s="51">
        <v>0</v>
      </c>
      <c r="F158" s="51">
        <v>20</v>
      </c>
      <c r="G158" s="51"/>
      <c r="H158" s="51">
        <v>1</v>
      </c>
      <c r="I158" s="51">
        <v>2</v>
      </c>
      <c r="J158" s="51">
        <v>4</v>
      </c>
      <c r="K158" s="51">
        <v>1</v>
      </c>
      <c r="L158" s="51"/>
      <c r="M158" s="51"/>
      <c r="N158" s="51"/>
      <c r="O158" s="51">
        <v>2</v>
      </c>
      <c r="P158" s="51">
        <f t="shared" si="155"/>
        <v>10</v>
      </c>
      <c r="Q158" s="51">
        <f t="shared" si="146"/>
        <v>10</v>
      </c>
      <c r="R158" s="52">
        <v>95</v>
      </c>
      <c r="S158" s="53">
        <f t="shared" si="156"/>
        <v>950</v>
      </c>
      <c r="U158" s="51">
        <v>0</v>
      </c>
      <c r="V158" s="39">
        <f t="shared" si="147"/>
        <v>10</v>
      </c>
      <c r="W158" s="54">
        <f t="shared" si="148"/>
        <v>0</v>
      </c>
      <c r="X158" s="54">
        <f t="shared" si="149"/>
        <v>95</v>
      </c>
      <c r="Y158" s="54">
        <f t="shared" si="150"/>
        <v>190</v>
      </c>
      <c r="Z158" s="54">
        <f t="shared" si="157"/>
        <v>380</v>
      </c>
      <c r="AA158" s="54">
        <f t="shared" si="158"/>
        <v>95</v>
      </c>
      <c r="AB158" s="54">
        <f t="shared" si="159"/>
        <v>0</v>
      </c>
      <c r="AC158" s="54">
        <f t="shared" si="151"/>
        <v>0</v>
      </c>
      <c r="AD158" s="54">
        <f t="shared" si="152"/>
        <v>0</v>
      </c>
      <c r="AE158" s="54">
        <f t="shared" si="153"/>
        <v>190</v>
      </c>
      <c r="AF158" s="55">
        <f t="shared" si="154"/>
        <v>950</v>
      </c>
    </row>
    <row r="159" spans="1:32" s="39" customFormat="1" x14ac:dyDescent="0.3">
      <c r="A159" s="49" t="s">
        <v>36</v>
      </c>
      <c r="B159" s="50" t="s">
        <v>341</v>
      </c>
      <c r="C159" s="50" t="s">
        <v>325</v>
      </c>
      <c r="D159" s="50" t="s">
        <v>329</v>
      </c>
      <c r="E159" s="51">
        <v>12</v>
      </c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>
        <f t="shared" si="155"/>
        <v>0</v>
      </c>
      <c r="Q159" s="51">
        <f t="shared" si="146"/>
        <v>12</v>
      </c>
      <c r="R159" s="52">
        <v>300</v>
      </c>
      <c r="S159" s="53">
        <f t="shared" si="156"/>
        <v>3600</v>
      </c>
      <c r="U159" s="51"/>
      <c r="V159" s="39">
        <f t="shared" si="147"/>
        <v>12</v>
      </c>
      <c r="W159" s="54">
        <f t="shared" si="148"/>
        <v>0</v>
      </c>
      <c r="X159" s="54">
        <f t="shared" si="149"/>
        <v>0</v>
      </c>
      <c r="Y159" s="54">
        <f t="shared" si="150"/>
        <v>0</v>
      </c>
      <c r="Z159" s="54">
        <f t="shared" si="157"/>
        <v>0</v>
      </c>
      <c r="AA159" s="54">
        <f t="shared" si="158"/>
        <v>0</v>
      </c>
      <c r="AB159" s="54">
        <f t="shared" si="159"/>
        <v>0</v>
      </c>
      <c r="AC159" s="54">
        <f t="shared" si="151"/>
        <v>0</v>
      </c>
      <c r="AD159" s="54">
        <f t="shared" ref="AD159:AD162" si="165">N159*$R159</f>
        <v>0</v>
      </c>
      <c r="AE159" s="54">
        <f t="shared" ref="AE159:AE162" si="166">O159*$R159</f>
        <v>0</v>
      </c>
      <c r="AF159" s="55">
        <f t="shared" si="154"/>
        <v>0</v>
      </c>
    </row>
    <row r="160" spans="1:32" s="12" customFormat="1" x14ac:dyDescent="0.3">
      <c r="A160" s="7" t="s">
        <v>36</v>
      </c>
      <c r="B160" s="8" t="s">
        <v>343</v>
      </c>
      <c r="C160" s="8" t="s">
        <v>326</v>
      </c>
      <c r="D160" s="8" t="s">
        <v>322</v>
      </c>
      <c r="E160" s="9">
        <v>1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>
        <f t="shared" si="155"/>
        <v>0</v>
      </c>
      <c r="Q160" s="9">
        <f t="shared" si="146"/>
        <v>1</v>
      </c>
      <c r="R160" s="10">
        <v>290</v>
      </c>
      <c r="S160" s="11">
        <f t="shared" si="156"/>
        <v>290</v>
      </c>
      <c r="U160" s="9">
        <v>1</v>
      </c>
      <c r="V160" s="39">
        <f t="shared" si="147"/>
        <v>2</v>
      </c>
      <c r="W160" s="45">
        <f t="shared" ref="W160:W162" si="167">G160*$R160</f>
        <v>0</v>
      </c>
      <c r="X160" s="45">
        <f t="shared" ref="X160:X162" si="168">H160*$R160</f>
        <v>0</v>
      </c>
      <c r="Y160" s="45">
        <f t="shared" ref="Y160:Y162" si="169">I160*$R160</f>
        <v>0</v>
      </c>
      <c r="Z160" s="45">
        <f t="shared" si="157"/>
        <v>0</v>
      </c>
      <c r="AA160" s="45">
        <f t="shared" si="158"/>
        <v>0</v>
      </c>
      <c r="AB160" s="45">
        <f t="shared" si="159"/>
        <v>0</v>
      </c>
      <c r="AC160" s="45">
        <f t="shared" ref="AC160:AC162" si="170">M160*$R160</f>
        <v>0</v>
      </c>
      <c r="AD160" s="45">
        <f t="shared" si="165"/>
        <v>0</v>
      </c>
      <c r="AE160" s="45">
        <f t="shared" si="166"/>
        <v>0</v>
      </c>
      <c r="AF160" s="37">
        <f t="shared" si="154"/>
        <v>0</v>
      </c>
    </row>
    <row r="161" spans="1:32" s="12" customFormat="1" x14ac:dyDescent="0.3">
      <c r="A161" s="7" t="s">
        <v>36</v>
      </c>
      <c r="B161" s="8" t="s">
        <v>344</v>
      </c>
      <c r="C161" s="8" t="s">
        <v>369</v>
      </c>
      <c r="D161" s="8" t="s">
        <v>358</v>
      </c>
      <c r="E161" s="9">
        <v>8</v>
      </c>
      <c r="F161" s="9">
        <v>15</v>
      </c>
      <c r="G161" s="9"/>
      <c r="H161" s="9"/>
      <c r="I161" s="9">
        <v>1</v>
      </c>
      <c r="J161" s="9">
        <v>2</v>
      </c>
      <c r="K161" s="9">
        <v>1</v>
      </c>
      <c r="L161" s="9">
        <v>1</v>
      </c>
      <c r="M161" s="9">
        <v>2</v>
      </c>
      <c r="N161" s="9">
        <v>1</v>
      </c>
      <c r="O161" s="9"/>
      <c r="P161" s="9">
        <f>SUM(G161:O161)</f>
        <v>8</v>
      </c>
      <c r="Q161" s="9">
        <f>E161+F161-P161</f>
        <v>15</v>
      </c>
      <c r="R161" s="10">
        <v>300</v>
      </c>
      <c r="S161" s="11">
        <f>Q161*R161</f>
        <v>4500</v>
      </c>
      <c r="U161" s="9">
        <v>8</v>
      </c>
      <c r="V161" s="39">
        <f>Q161+U161</f>
        <v>23</v>
      </c>
      <c r="W161" s="45">
        <f t="shared" ref="W161:AE161" si="171">G161*$R161</f>
        <v>0</v>
      </c>
      <c r="X161" s="45">
        <f t="shared" si="171"/>
        <v>0</v>
      </c>
      <c r="Y161" s="45">
        <f t="shared" si="171"/>
        <v>300</v>
      </c>
      <c r="Z161" s="45">
        <f t="shared" si="171"/>
        <v>600</v>
      </c>
      <c r="AA161" s="45">
        <f t="shared" si="171"/>
        <v>300</v>
      </c>
      <c r="AB161" s="45">
        <f t="shared" si="171"/>
        <v>300</v>
      </c>
      <c r="AC161" s="45">
        <f t="shared" si="171"/>
        <v>600</v>
      </c>
      <c r="AD161" s="45">
        <f t="shared" si="171"/>
        <v>300</v>
      </c>
      <c r="AE161" s="45">
        <f t="shared" si="171"/>
        <v>0</v>
      </c>
      <c r="AF161" s="37">
        <f>$P161*$R161</f>
        <v>2400</v>
      </c>
    </row>
    <row r="162" spans="1:32" s="12" customFormat="1" x14ac:dyDescent="0.3">
      <c r="A162" s="7" t="s">
        <v>36</v>
      </c>
      <c r="B162" s="8" t="s">
        <v>345</v>
      </c>
      <c r="C162" s="87" t="s">
        <v>370</v>
      </c>
      <c r="D162" s="8" t="s">
        <v>342</v>
      </c>
      <c r="E162" s="9">
        <v>0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>
        <f t="shared" si="155"/>
        <v>0</v>
      </c>
      <c r="Q162" s="9">
        <f t="shared" si="146"/>
        <v>0</v>
      </c>
      <c r="R162" s="10">
        <v>1700</v>
      </c>
      <c r="S162" s="11">
        <f t="shared" si="156"/>
        <v>0</v>
      </c>
      <c r="U162" s="9">
        <v>0</v>
      </c>
      <c r="V162" s="39">
        <v>1</v>
      </c>
      <c r="W162" s="45">
        <f t="shared" si="167"/>
        <v>0</v>
      </c>
      <c r="X162" s="45">
        <f t="shared" si="168"/>
        <v>0</v>
      </c>
      <c r="Y162" s="45">
        <f t="shared" si="169"/>
        <v>0</v>
      </c>
      <c r="Z162" s="45">
        <f t="shared" si="157"/>
        <v>0</v>
      </c>
      <c r="AA162" s="45">
        <f t="shared" si="158"/>
        <v>0</v>
      </c>
      <c r="AB162" s="45">
        <f t="shared" si="159"/>
        <v>0</v>
      </c>
      <c r="AC162" s="45">
        <f t="shared" si="170"/>
        <v>0</v>
      </c>
      <c r="AD162" s="45">
        <f t="shared" si="165"/>
        <v>0</v>
      </c>
      <c r="AE162" s="45">
        <f t="shared" si="166"/>
        <v>0</v>
      </c>
      <c r="AF162" s="37">
        <f t="shared" si="154"/>
        <v>0</v>
      </c>
    </row>
    <row r="163" spans="1:32" s="12" customFormat="1" x14ac:dyDescent="0.3">
      <c r="A163" s="7"/>
      <c r="B163" s="7" t="s">
        <v>23</v>
      </c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13">
        <f>SUM(S11:S162)</f>
        <v>167045.5</v>
      </c>
      <c r="V163" s="39"/>
      <c r="W163" s="46">
        <f t="shared" ref="W163:AF163" si="172">SUM(W11:W162)</f>
        <v>7788</v>
      </c>
      <c r="X163" s="46">
        <f t="shared" si="172"/>
        <v>4160.5</v>
      </c>
      <c r="Y163" s="46">
        <f t="shared" si="172"/>
        <v>5058</v>
      </c>
      <c r="Z163" s="46">
        <f t="shared" si="172"/>
        <v>2918.5</v>
      </c>
      <c r="AA163" s="46">
        <f t="shared" si="172"/>
        <v>2934.5</v>
      </c>
      <c r="AB163" s="46">
        <f t="shared" si="172"/>
        <v>2727</v>
      </c>
      <c r="AC163" s="46">
        <f t="shared" si="172"/>
        <v>13998</v>
      </c>
      <c r="AD163" s="46">
        <f t="shared" si="172"/>
        <v>2458.5</v>
      </c>
      <c r="AE163" s="46">
        <f t="shared" si="172"/>
        <v>3499.5</v>
      </c>
      <c r="AF163" s="41">
        <f t="shared" si="172"/>
        <v>45542.5</v>
      </c>
    </row>
    <row r="164" spans="1:32" s="12" customFormat="1" x14ac:dyDescent="0.3">
      <c r="B164" s="14"/>
      <c r="C164" s="14"/>
      <c r="D164" s="14"/>
      <c r="S164" s="15"/>
      <c r="V164" s="39"/>
      <c r="AF164" s="44"/>
    </row>
    <row r="165" spans="1:32" s="12" customFormat="1" x14ac:dyDescent="0.3">
      <c r="B165" s="14"/>
      <c r="C165" s="14"/>
      <c r="D165" s="14"/>
      <c r="S165" s="15"/>
      <c r="V165" s="39"/>
      <c r="AF165" s="36"/>
    </row>
    <row r="166" spans="1:32" s="12" customFormat="1" x14ac:dyDescent="0.3">
      <c r="B166" s="12" t="s">
        <v>24</v>
      </c>
      <c r="C166" s="14"/>
      <c r="D166" s="14"/>
      <c r="E166" s="12" t="s">
        <v>25</v>
      </c>
      <c r="R166" s="12" t="s">
        <v>26</v>
      </c>
      <c r="S166" s="15"/>
      <c r="V166" s="39"/>
      <c r="AF166" s="36"/>
    </row>
    <row r="167" spans="1:32" s="12" customFormat="1" x14ac:dyDescent="0.3">
      <c r="C167" s="14"/>
      <c r="D167" s="14"/>
      <c r="S167" s="15"/>
      <c r="V167" s="39"/>
      <c r="AF167" s="36"/>
    </row>
    <row r="168" spans="1:32" s="12" customFormat="1" x14ac:dyDescent="0.3">
      <c r="B168" s="16" t="s">
        <v>30</v>
      </c>
      <c r="C168" s="14"/>
      <c r="D168" s="14"/>
      <c r="E168" s="16" t="s">
        <v>61</v>
      </c>
      <c r="R168" s="16" t="s">
        <v>28</v>
      </c>
      <c r="S168" s="15"/>
      <c r="V168" s="39"/>
      <c r="AF168" s="36"/>
    </row>
    <row r="169" spans="1:32" s="12" customFormat="1" x14ac:dyDescent="0.3">
      <c r="B169" s="12" t="s">
        <v>29</v>
      </c>
      <c r="C169" s="14"/>
      <c r="D169" s="14"/>
      <c r="E169" s="12" t="s">
        <v>62</v>
      </c>
      <c r="R169" s="12" t="s">
        <v>27</v>
      </c>
      <c r="S169" s="15"/>
      <c r="V169" s="39"/>
      <c r="AF169" s="36"/>
    </row>
    <row r="170" spans="1:32" s="18" customFormat="1" x14ac:dyDescent="0.3">
      <c r="B170" s="17"/>
      <c r="C170" s="17"/>
      <c r="D170" s="17"/>
      <c r="S170" s="19"/>
      <c r="V170" s="40"/>
      <c r="AF170" s="35"/>
    </row>
    <row r="171" spans="1:32" s="18" customFormat="1" x14ac:dyDescent="0.3">
      <c r="B171" s="17"/>
      <c r="C171" s="17"/>
      <c r="D171" s="17"/>
      <c r="S171" s="19"/>
      <c r="V171" s="40"/>
      <c r="AF171" s="35"/>
    </row>
    <row r="172" spans="1:32" s="18" customFormat="1" x14ac:dyDescent="0.3">
      <c r="B172" s="17"/>
      <c r="C172" s="17"/>
      <c r="D172" s="17"/>
      <c r="S172" s="19"/>
      <c r="V172" s="40"/>
      <c r="AF172" s="35"/>
    </row>
    <row r="173" spans="1:32" s="18" customFormat="1" x14ac:dyDescent="0.3">
      <c r="B173" s="17"/>
      <c r="C173" s="17"/>
      <c r="D173" s="17"/>
      <c r="S173" s="19"/>
      <c r="V173" s="40"/>
      <c r="AF173" s="35"/>
    </row>
    <row r="174" spans="1:32" s="18" customFormat="1" x14ac:dyDescent="0.3">
      <c r="B174" s="17"/>
      <c r="C174" s="17"/>
      <c r="D174" s="17"/>
      <c r="S174" s="19"/>
      <c r="V174" s="40"/>
      <c r="AF174" s="35"/>
    </row>
    <row r="175" spans="1:32" s="18" customFormat="1" x14ac:dyDescent="0.3">
      <c r="B175" s="17"/>
      <c r="C175" s="17"/>
      <c r="D175" s="17"/>
      <c r="S175" s="19"/>
      <c r="V175" s="40"/>
      <c r="AF175" s="35"/>
    </row>
    <row r="176" spans="1:32" s="18" customFormat="1" x14ac:dyDescent="0.3">
      <c r="B176" s="17"/>
      <c r="C176" s="17"/>
      <c r="D176" s="17"/>
      <c r="S176" s="19"/>
      <c r="V176" s="40"/>
      <c r="AF176" s="35"/>
    </row>
    <row r="177" spans="2:32" s="18" customFormat="1" x14ac:dyDescent="0.3">
      <c r="B177" s="17"/>
      <c r="C177" s="17"/>
      <c r="D177" s="17"/>
      <c r="S177" s="19"/>
      <c r="V177" s="40"/>
      <c r="AF177" s="35"/>
    </row>
    <row r="178" spans="2:32" s="18" customFormat="1" x14ac:dyDescent="0.3">
      <c r="B178" s="17"/>
      <c r="C178" s="17"/>
      <c r="D178" s="17"/>
      <c r="S178" s="19"/>
      <c r="V178" s="40"/>
      <c r="AF178" s="35"/>
    </row>
    <row r="179" spans="2:32" s="18" customFormat="1" x14ac:dyDescent="0.3">
      <c r="B179" s="17"/>
      <c r="C179" s="17"/>
      <c r="D179" s="17"/>
      <c r="S179" s="19"/>
      <c r="V179" s="40"/>
      <c r="AF179" s="35"/>
    </row>
    <row r="180" spans="2:32" s="18" customFormat="1" x14ac:dyDescent="0.3">
      <c r="B180" s="17"/>
      <c r="C180" s="17"/>
      <c r="D180" s="17"/>
      <c r="S180" s="19"/>
      <c r="V180" s="40"/>
      <c r="AF180" s="35"/>
    </row>
    <row r="181" spans="2:32" s="18" customFormat="1" x14ac:dyDescent="0.3">
      <c r="B181" s="17"/>
      <c r="C181" s="17"/>
      <c r="D181" s="17"/>
      <c r="S181" s="19"/>
      <c r="V181" s="40"/>
      <c r="AF181" s="35"/>
    </row>
    <row r="182" spans="2:32" s="18" customFormat="1" x14ac:dyDescent="0.3">
      <c r="B182" s="17"/>
      <c r="C182" s="17"/>
      <c r="D182" s="17"/>
      <c r="S182" s="19"/>
      <c r="V182" s="40"/>
      <c r="AF182" s="35"/>
    </row>
    <row r="183" spans="2:32" s="18" customFormat="1" x14ac:dyDescent="0.3">
      <c r="B183" s="17"/>
      <c r="C183" s="17"/>
      <c r="D183" s="17"/>
      <c r="S183" s="19"/>
      <c r="V183" s="40"/>
      <c r="AF183" s="35"/>
    </row>
    <row r="184" spans="2:32" s="18" customFormat="1" x14ac:dyDescent="0.3">
      <c r="B184" s="17"/>
      <c r="C184" s="17"/>
      <c r="D184" s="17"/>
      <c r="S184" s="19"/>
      <c r="AF184" s="35"/>
    </row>
    <row r="185" spans="2:32" s="18" customFormat="1" x14ac:dyDescent="0.3">
      <c r="B185" s="17"/>
      <c r="C185" s="17"/>
      <c r="D185" s="17"/>
      <c r="S185" s="19"/>
      <c r="AF185" s="35"/>
    </row>
    <row r="186" spans="2:32" s="18" customFormat="1" x14ac:dyDescent="0.3">
      <c r="B186" s="17"/>
      <c r="C186" s="17"/>
      <c r="D186" s="17"/>
      <c r="S186" s="19"/>
      <c r="AF186" s="35"/>
    </row>
    <row r="187" spans="2:32" s="18" customFormat="1" x14ac:dyDescent="0.3">
      <c r="B187" s="17"/>
      <c r="C187" s="17"/>
      <c r="D187" s="17"/>
      <c r="S187" s="19"/>
      <c r="AF187" s="35"/>
    </row>
    <row r="188" spans="2:32" s="18" customFormat="1" x14ac:dyDescent="0.3">
      <c r="B188" s="17"/>
      <c r="C188" s="17"/>
      <c r="D188" s="17"/>
      <c r="S188" s="19"/>
      <c r="AF188" s="35"/>
    </row>
    <row r="189" spans="2:32" s="18" customFormat="1" x14ac:dyDescent="0.3">
      <c r="B189" s="17"/>
      <c r="C189" s="17"/>
      <c r="D189" s="17"/>
      <c r="S189" s="19"/>
      <c r="AF189" s="35"/>
    </row>
    <row r="190" spans="2:32" s="18" customFormat="1" x14ac:dyDescent="0.3">
      <c r="B190" s="17"/>
      <c r="C190" s="17"/>
      <c r="D190" s="17"/>
      <c r="S190" s="19"/>
      <c r="AF190" s="35"/>
    </row>
    <row r="191" spans="2:32" s="18" customFormat="1" x14ac:dyDescent="0.3">
      <c r="B191" s="17"/>
      <c r="C191" s="17"/>
      <c r="D191" s="17"/>
      <c r="S191" s="19"/>
      <c r="AF191" s="35"/>
    </row>
    <row r="192" spans="2:32" s="18" customFormat="1" x14ac:dyDescent="0.3">
      <c r="B192" s="17"/>
      <c r="C192" s="17"/>
      <c r="D192" s="17"/>
      <c r="S192" s="19"/>
      <c r="AF192" s="35"/>
    </row>
    <row r="193" spans="2:32" s="18" customFormat="1" x14ac:dyDescent="0.3">
      <c r="B193" s="17"/>
      <c r="C193" s="17"/>
      <c r="D193" s="17"/>
      <c r="S193" s="19"/>
      <c r="AF193" s="35"/>
    </row>
    <row r="194" spans="2:32" s="18" customFormat="1" x14ac:dyDescent="0.3">
      <c r="B194" s="17"/>
      <c r="C194" s="17"/>
      <c r="D194" s="17"/>
      <c r="S194" s="19"/>
      <c r="AF194" s="35"/>
    </row>
    <row r="195" spans="2:32" s="18" customFormat="1" x14ac:dyDescent="0.3">
      <c r="B195" s="17"/>
      <c r="C195" s="17"/>
      <c r="D195" s="17"/>
      <c r="S195" s="19"/>
      <c r="AF195" s="35"/>
    </row>
    <row r="196" spans="2:32" s="18" customFormat="1" x14ac:dyDescent="0.3">
      <c r="B196" s="17"/>
      <c r="C196" s="17"/>
      <c r="D196" s="17"/>
      <c r="S196" s="19"/>
      <c r="AF196" s="35"/>
    </row>
    <row r="197" spans="2:32" s="18" customFormat="1" x14ac:dyDescent="0.3">
      <c r="B197" s="17"/>
      <c r="C197" s="17"/>
      <c r="D197" s="17"/>
      <c r="S197" s="19"/>
      <c r="AF197" s="35"/>
    </row>
    <row r="198" spans="2:32" s="18" customFormat="1" x14ac:dyDescent="0.3">
      <c r="B198" s="17"/>
      <c r="C198" s="17"/>
      <c r="D198" s="17"/>
      <c r="S198" s="19"/>
      <c r="AF198" s="35"/>
    </row>
    <row r="199" spans="2:32" s="18" customFormat="1" x14ac:dyDescent="0.3">
      <c r="B199" s="17"/>
      <c r="C199" s="17"/>
      <c r="D199" s="17"/>
      <c r="S199" s="19"/>
      <c r="AF199" s="35"/>
    </row>
    <row r="200" spans="2:32" s="18" customFormat="1" x14ac:dyDescent="0.3">
      <c r="B200" s="17"/>
      <c r="C200" s="17"/>
      <c r="D200" s="17"/>
      <c r="S200" s="19"/>
      <c r="AF200" s="35"/>
    </row>
    <row r="201" spans="2:32" s="18" customFormat="1" x14ac:dyDescent="0.3">
      <c r="B201" s="17"/>
      <c r="C201" s="17"/>
      <c r="D201" s="17"/>
      <c r="S201" s="19"/>
      <c r="AF201" s="35"/>
    </row>
    <row r="202" spans="2:32" s="18" customFormat="1" x14ac:dyDescent="0.3">
      <c r="B202" s="17"/>
      <c r="C202" s="17"/>
      <c r="D202" s="17"/>
      <c r="S202" s="19"/>
      <c r="AF202" s="35"/>
    </row>
    <row r="203" spans="2:32" s="18" customFormat="1" x14ac:dyDescent="0.3">
      <c r="B203" s="17"/>
      <c r="C203" s="17"/>
      <c r="D203" s="17"/>
      <c r="S203" s="19"/>
      <c r="AF203" s="35"/>
    </row>
    <row r="204" spans="2:32" s="18" customFormat="1" x14ac:dyDescent="0.3">
      <c r="B204" s="17"/>
      <c r="C204" s="17"/>
      <c r="D204" s="17"/>
      <c r="S204" s="19"/>
      <c r="AF204" s="35"/>
    </row>
    <row r="205" spans="2:32" s="18" customFormat="1" x14ac:dyDescent="0.3">
      <c r="B205" s="17"/>
      <c r="C205" s="17"/>
      <c r="D205" s="17"/>
      <c r="S205" s="19"/>
      <c r="AF205" s="35"/>
    </row>
    <row r="206" spans="2:32" s="18" customFormat="1" x14ac:dyDescent="0.3">
      <c r="B206" s="17"/>
      <c r="C206" s="17"/>
      <c r="D206" s="17"/>
      <c r="S206" s="19"/>
      <c r="AF206" s="35"/>
    </row>
    <row r="207" spans="2:32" s="18" customFormat="1" x14ac:dyDescent="0.3">
      <c r="B207" s="17"/>
      <c r="C207" s="17"/>
      <c r="D207" s="17"/>
      <c r="S207" s="19"/>
      <c r="AF207" s="35"/>
    </row>
    <row r="208" spans="2:32" s="18" customFormat="1" x14ac:dyDescent="0.3">
      <c r="B208" s="17"/>
      <c r="C208" s="17"/>
      <c r="D208" s="17"/>
      <c r="S208" s="19"/>
      <c r="AF208" s="35"/>
    </row>
    <row r="209" spans="2:32" s="18" customFormat="1" x14ac:dyDescent="0.3">
      <c r="B209" s="17"/>
      <c r="C209" s="17"/>
      <c r="D209" s="17"/>
      <c r="S209" s="19"/>
      <c r="AF209" s="35"/>
    </row>
    <row r="210" spans="2:32" s="18" customFormat="1" x14ac:dyDescent="0.3">
      <c r="B210" s="17"/>
      <c r="C210" s="17"/>
      <c r="D210" s="17"/>
      <c r="S210" s="19"/>
      <c r="AF210" s="35"/>
    </row>
    <row r="211" spans="2:32" s="18" customFormat="1" x14ac:dyDescent="0.3">
      <c r="B211" s="17"/>
      <c r="C211" s="17"/>
      <c r="D211" s="17"/>
      <c r="S211" s="19"/>
      <c r="AF211" s="35"/>
    </row>
    <row r="212" spans="2:32" s="18" customFormat="1" x14ac:dyDescent="0.3">
      <c r="B212" s="17"/>
      <c r="C212" s="17"/>
      <c r="D212" s="17"/>
      <c r="S212" s="19"/>
      <c r="AF212" s="35"/>
    </row>
    <row r="213" spans="2:32" s="18" customFormat="1" x14ac:dyDescent="0.3">
      <c r="B213" s="17"/>
      <c r="C213" s="17"/>
      <c r="D213" s="17"/>
      <c r="S213" s="19"/>
      <c r="AF213" s="35"/>
    </row>
    <row r="214" spans="2:32" s="18" customFormat="1" x14ac:dyDescent="0.3">
      <c r="B214" s="17"/>
      <c r="C214" s="17"/>
      <c r="D214" s="17"/>
      <c r="S214" s="19"/>
      <c r="AF214" s="35"/>
    </row>
    <row r="215" spans="2:32" s="18" customFormat="1" x14ac:dyDescent="0.3">
      <c r="B215" s="17"/>
      <c r="C215" s="17"/>
      <c r="D215" s="17"/>
      <c r="S215" s="19"/>
      <c r="AF215" s="35"/>
    </row>
    <row r="216" spans="2:32" s="18" customFormat="1" x14ac:dyDescent="0.3">
      <c r="B216" s="17"/>
      <c r="C216" s="17"/>
      <c r="D216" s="17"/>
      <c r="S216" s="19"/>
      <c r="AF216" s="35"/>
    </row>
    <row r="217" spans="2:32" s="18" customFormat="1" x14ac:dyDescent="0.3">
      <c r="B217" s="17"/>
      <c r="C217" s="17"/>
      <c r="D217" s="17"/>
      <c r="S217" s="19"/>
      <c r="AF217" s="35"/>
    </row>
    <row r="218" spans="2:32" s="18" customFormat="1" x14ac:dyDescent="0.3">
      <c r="B218" s="17"/>
      <c r="C218" s="17"/>
      <c r="D218" s="17"/>
      <c r="S218" s="19"/>
      <c r="AF218" s="35"/>
    </row>
    <row r="219" spans="2:32" s="18" customFormat="1" x14ac:dyDescent="0.3">
      <c r="B219" s="17"/>
      <c r="C219" s="17"/>
      <c r="D219" s="17"/>
      <c r="S219" s="19"/>
      <c r="AF219" s="35"/>
    </row>
    <row r="220" spans="2:32" s="18" customFormat="1" x14ac:dyDescent="0.3">
      <c r="B220" s="17"/>
      <c r="C220" s="17"/>
      <c r="D220" s="17"/>
      <c r="S220" s="19"/>
      <c r="AF220" s="35"/>
    </row>
    <row r="221" spans="2:32" s="18" customFormat="1" x14ac:dyDescent="0.3">
      <c r="B221" s="17"/>
      <c r="C221" s="17"/>
      <c r="D221" s="17"/>
      <c r="S221" s="19"/>
      <c r="AF221" s="35"/>
    </row>
    <row r="222" spans="2:32" s="18" customFormat="1" x14ac:dyDescent="0.3">
      <c r="B222" s="17"/>
      <c r="C222" s="17"/>
      <c r="D222" s="17"/>
      <c r="S222" s="19"/>
      <c r="AF222" s="35"/>
    </row>
    <row r="223" spans="2:32" s="18" customFormat="1" x14ac:dyDescent="0.3">
      <c r="B223" s="17"/>
      <c r="C223" s="17"/>
      <c r="D223" s="17"/>
      <c r="S223" s="19"/>
      <c r="AF223" s="35"/>
    </row>
    <row r="224" spans="2:32" s="18" customFormat="1" x14ac:dyDescent="0.3">
      <c r="B224" s="17"/>
      <c r="C224" s="17"/>
      <c r="D224" s="17"/>
      <c r="S224" s="19"/>
      <c r="AF224" s="35"/>
    </row>
    <row r="225" spans="2:32" s="18" customFormat="1" x14ac:dyDescent="0.3">
      <c r="B225" s="17"/>
      <c r="C225" s="17"/>
      <c r="D225" s="17"/>
      <c r="S225" s="19"/>
      <c r="AF225" s="35"/>
    </row>
    <row r="226" spans="2:32" s="18" customFormat="1" x14ac:dyDescent="0.3">
      <c r="B226" s="17"/>
      <c r="C226" s="17"/>
      <c r="D226" s="17"/>
      <c r="S226" s="19"/>
      <c r="AF226" s="35"/>
    </row>
    <row r="6557" spans="37:37" x14ac:dyDescent="0.3">
      <c r="AK6557" s="2" t="s">
        <v>11</v>
      </c>
    </row>
  </sheetData>
  <autoFilter ref="A6:S163" xr:uid="{00000000-0009-0000-0000-000002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6">
    <mergeCell ref="B1:R1"/>
    <mergeCell ref="B2:R2"/>
    <mergeCell ref="B3:R3"/>
    <mergeCell ref="B4:R4"/>
    <mergeCell ref="B6:R6"/>
    <mergeCell ref="B7:R7"/>
    <mergeCell ref="AF8:AF9"/>
    <mergeCell ref="C8:C9"/>
    <mergeCell ref="E8:E9"/>
    <mergeCell ref="G8:O8"/>
    <mergeCell ref="P8:P9"/>
    <mergeCell ref="Q8:Q9"/>
    <mergeCell ref="R8:R9"/>
    <mergeCell ref="S8:S9"/>
    <mergeCell ref="W8:AE8"/>
    <mergeCell ref="B8:B9"/>
  </mergeCells>
  <pageMargins left="0.7" right="0.49" top="0.75" bottom="0.75" header="0.3" footer="0.3"/>
  <pageSetup paperSize="9" scale="85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summary</vt:lpstr>
      <vt:lpstr>JAN 2026 procurement (2)</vt:lpstr>
      <vt:lpstr>JAN 2026 procurement</vt:lpstr>
      <vt:lpstr>JAN 2026</vt:lpstr>
      <vt:lpstr>'JAN 2026 procurement'!Print_Area</vt:lpstr>
      <vt:lpstr>'JAN 2026 procurement (2)'!Print_Area</vt:lpstr>
      <vt:lpstr>'JAN 2026'!Print_Titles</vt:lpstr>
      <vt:lpstr>'JAN 2026 procurement'!Print_Titles</vt:lpstr>
      <vt:lpstr>'JAN 2026 procurement (2)'!Print_Titles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deped-bogo division</dc:creator>
  <cp:lastModifiedBy>Ingrid Clemente</cp:lastModifiedBy>
  <cp:lastPrinted>2026-02-19T02:14:20Z</cp:lastPrinted>
  <dcterms:created xsi:type="dcterms:W3CDTF">2017-03-07T03:34:47Z</dcterms:created>
  <dcterms:modified xsi:type="dcterms:W3CDTF">2026-02-19T03:00:08Z</dcterms:modified>
</cp:coreProperties>
</file>